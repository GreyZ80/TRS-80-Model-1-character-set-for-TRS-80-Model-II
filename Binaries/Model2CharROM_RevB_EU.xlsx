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75" windowWidth="22755" windowHeight="13590"/>
  </bookViews>
  <sheets>
    <sheet name="TRS80_Model_II_CharGenRom_2716_" sheetId="1" r:id="rId1"/>
  </sheets>
  <externalReferences>
    <externalReference r:id="rId2"/>
  </externalReferences>
  <calcPr calcId="144525"/>
  <fileRecoveryPr repairLoad="1"/>
</workbook>
</file>

<file path=xl/calcChain.xml><?xml version="1.0" encoding="utf-8"?>
<calcChain xmlns="http://schemas.openxmlformats.org/spreadsheetml/2006/main">
  <c r="C131" i="1" l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3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  <c r="C3" i="1"/>
  <c r="C4" i="1"/>
  <c r="G28" i="1" l="1"/>
  <c r="AC42" i="1"/>
  <c r="AC37" i="1"/>
  <c r="AC35" i="1"/>
  <c r="AC36" i="1"/>
  <c r="AC40" i="1"/>
  <c r="AC38" i="1"/>
  <c r="AC27" i="1"/>
  <c r="AC34" i="1"/>
  <c r="AC18" i="1"/>
  <c r="AC25" i="1"/>
  <c r="AC41" i="1"/>
  <c r="AC26" i="1"/>
  <c r="AC39" i="1"/>
  <c r="AC33" i="1"/>
  <c r="AC24" i="1"/>
  <c r="AC23" i="1"/>
  <c r="F9" i="1" l="1"/>
  <c r="G9" i="1" s="1"/>
  <c r="F8" i="1"/>
  <c r="G8" i="1" s="1"/>
  <c r="F11" i="1"/>
  <c r="G11" i="1" s="1"/>
  <c r="F10" i="1"/>
  <c r="G10" i="1" s="1"/>
  <c r="F13" i="1"/>
  <c r="G13" i="1" s="1"/>
  <c r="F12" i="1"/>
  <c r="G12" i="1" s="1"/>
  <c r="F2" i="1"/>
  <c r="G2" i="1" s="1"/>
  <c r="L2" i="1" s="1"/>
  <c r="AD39" i="1"/>
  <c r="AD36" i="1"/>
  <c r="AD40" i="1"/>
  <c r="AD33" i="1"/>
  <c r="AD35" i="1"/>
  <c r="AD37" i="1"/>
  <c r="AD41" i="1"/>
  <c r="AD34" i="1"/>
  <c r="AD38" i="1"/>
  <c r="AD42" i="1"/>
  <c r="AD24" i="1"/>
  <c r="AD25" i="1"/>
  <c r="AD23" i="1"/>
  <c r="AD18" i="1"/>
  <c r="AD26" i="1"/>
  <c r="AD27" i="1"/>
  <c r="F17" i="1"/>
  <c r="R17" i="1" s="1"/>
  <c r="F21" i="1"/>
  <c r="R21" i="1" s="1"/>
  <c r="F20" i="1"/>
  <c r="R20" i="1" s="1"/>
  <c r="F4" i="1"/>
  <c r="G4" i="1" s="1"/>
  <c r="L4" i="1" s="1"/>
  <c r="F19" i="1"/>
  <c r="R19" i="1" s="1"/>
  <c r="F18" i="1"/>
  <c r="R18" i="1" s="1"/>
  <c r="F16" i="1"/>
  <c r="R16" i="1" s="1"/>
  <c r="F15" i="1"/>
  <c r="G15" i="1" s="1"/>
  <c r="F7" i="1"/>
  <c r="G7" i="1" s="1"/>
  <c r="F22" i="1"/>
  <c r="G22" i="1" s="1"/>
  <c r="F14" i="1"/>
  <c r="G14" i="1" s="1"/>
  <c r="F6" i="1"/>
  <c r="G6" i="1" s="1"/>
  <c r="F5" i="1"/>
  <c r="G5" i="1" s="1"/>
  <c r="L5" i="1" s="1"/>
  <c r="F3" i="1"/>
  <c r="G3" i="1" s="1"/>
  <c r="L3" i="1" s="1"/>
  <c r="AF33" i="1"/>
  <c r="G16" i="1" l="1"/>
  <c r="L16" i="1" s="1"/>
  <c r="G17" i="1"/>
  <c r="J17" i="1" s="1"/>
  <c r="G18" i="1"/>
  <c r="N18" i="1" s="1"/>
  <c r="G19" i="1"/>
  <c r="L19" i="1" s="1"/>
  <c r="G20" i="1"/>
  <c r="L20" i="1" s="1"/>
  <c r="G21" i="1"/>
  <c r="L21" i="1" s="1"/>
  <c r="L8" i="1"/>
  <c r="L15" i="1"/>
  <c r="L6" i="1"/>
  <c r="L13" i="1"/>
  <c r="L14" i="1"/>
  <c r="P10" i="1"/>
  <c r="L11" i="1"/>
  <c r="L7" i="1"/>
  <c r="P9" i="1"/>
  <c r="L22" i="1"/>
  <c r="J2" i="1"/>
  <c r="M2" i="1"/>
  <c r="O2" i="1"/>
  <c r="N2" i="1"/>
  <c r="I2" i="1"/>
  <c r="P2" i="1"/>
  <c r="K2" i="1"/>
  <c r="L12" i="1"/>
  <c r="O12" i="1"/>
  <c r="I12" i="1"/>
  <c r="J12" i="1"/>
  <c r="M12" i="1"/>
  <c r="O11" i="1"/>
  <c r="N12" i="1"/>
  <c r="P12" i="1"/>
  <c r="J8" i="1"/>
  <c r="M11" i="1"/>
  <c r="I11" i="1"/>
  <c r="N11" i="1"/>
  <c r="M4" i="1"/>
  <c r="P4" i="1"/>
  <c r="N22" i="1"/>
  <c r="J11" i="1"/>
  <c r="K11" i="1"/>
  <c r="J22" i="1"/>
  <c r="M13" i="1"/>
  <c r="N13" i="1"/>
  <c r="N4" i="1"/>
  <c r="O4" i="1"/>
  <c r="M14" i="1"/>
  <c r="O8" i="1"/>
  <c r="M8" i="1"/>
  <c r="K12" i="1"/>
  <c r="K13" i="1"/>
  <c r="J4" i="1"/>
  <c r="K4" i="1"/>
  <c r="I22" i="1"/>
  <c r="I8" i="1"/>
  <c r="P8" i="1"/>
  <c r="P22" i="1"/>
  <c r="O22" i="1"/>
  <c r="I4" i="1"/>
  <c r="I10" i="1"/>
  <c r="N15" i="1"/>
  <c r="I14" i="1"/>
  <c r="I9" i="1"/>
  <c r="L9" i="1"/>
  <c r="M15" i="1"/>
  <c r="N14" i="1"/>
  <c r="J15" i="1"/>
  <c r="K8" i="1"/>
  <c r="N8" i="1"/>
  <c r="J5" i="1"/>
  <c r="O13" i="1"/>
  <c r="P13" i="1"/>
  <c r="I13" i="1"/>
  <c r="N3" i="1"/>
  <c r="M3" i="1"/>
  <c r="P6" i="1"/>
  <c r="O6" i="1"/>
  <c r="P14" i="1"/>
  <c r="M7" i="1"/>
  <c r="P7" i="1"/>
  <c r="J14" i="1"/>
  <c r="O7" i="1"/>
  <c r="N7" i="1"/>
  <c r="O3" i="1"/>
  <c r="O14" i="1"/>
  <c r="I3" i="1"/>
  <c r="I16" i="1"/>
  <c r="N10" i="1"/>
  <c r="N6" i="1"/>
  <c r="I7" i="1"/>
  <c r="K9" i="1"/>
  <c r="J7" i="1"/>
  <c r="O10" i="1"/>
  <c r="M5" i="1"/>
  <c r="K5" i="1"/>
  <c r="N9" i="1"/>
  <c r="K14" i="1"/>
  <c r="O5" i="1"/>
  <c r="O15" i="1"/>
  <c r="P3" i="1"/>
  <c r="I6" i="1"/>
  <c r="J10" i="1"/>
  <c r="J9" i="1"/>
  <c r="L10" i="1"/>
  <c r="K15" i="1"/>
  <c r="I5" i="1"/>
  <c r="I15" i="1"/>
  <c r="K10" i="1"/>
  <c r="O9" i="1"/>
  <c r="K7" i="1"/>
  <c r="J6" i="1"/>
  <c r="M6" i="1"/>
  <c r="N5" i="1"/>
  <c r="P5" i="1"/>
  <c r="P15" i="1"/>
  <c r="M10" i="1"/>
  <c r="M9" i="1"/>
  <c r="K3" i="1"/>
  <c r="K22" i="1"/>
  <c r="M22" i="1"/>
  <c r="J13" i="1"/>
  <c r="P11" i="1"/>
  <c r="J3" i="1"/>
  <c r="K6" i="1"/>
  <c r="J16" i="1"/>
  <c r="AC7" i="1"/>
  <c r="AC12" i="1"/>
  <c r="AC13" i="1"/>
  <c r="AC10" i="1"/>
  <c r="AC6" i="1"/>
  <c r="AC11" i="1"/>
  <c r="AC8" i="1"/>
  <c r="AC9" i="1"/>
  <c r="AC15" i="1"/>
  <c r="AC14" i="1"/>
  <c r="AC22" i="1"/>
  <c r="AC20" i="1"/>
  <c r="AC21" i="1"/>
  <c r="AC19" i="1"/>
  <c r="K18" i="1" l="1"/>
  <c r="P16" i="1"/>
  <c r="M16" i="1"/>
  <c r="K16" i="1"/>
  <c r="M18" i="1"/>
  <c r="N16" i="1"/>
  <c r="O18" i="1"/>
  <c r="O16" i="1"/>
  <c r="N17" i="1"/>
  <c r="I17" i="1"/>
  <c r="M17" i="1"/>
  <c r="K17" i="1"/>
  <c r="P17" i="1"/>
  <c r="O17" i="1"/>
  <c r="L17" i="1"/>
  <c r="P20" i="1"/>
  <c r="O20" i="1"/>
  <c r="K20" i="1"/>
  <c r="J20" i="1"/>
  <c r="I20" i="1"/>
  <c r="N20" i="1"/>
  <c r="P18" i="1"/>
  <c r="M20" i="1"/>
  <c r="I18" i="1"/>
  <c r="K19" i="1"/>
  <c r="I19" i="1"/>
  <c r="P19" i="1"/>
  <c r="M19" i="1"/>
  <c r="N19" i="1"/>
  <c r="O19" i="1"/>
  <c r="L18" i="1"/>
  <c r="J18" i="1"/>
  <c r="J19" i="1"/>
  <c r="K21" i="1"/>
  <c r="P21" i="1"/>
  <c r="M21" i="1"/>
  <c r="I21" i="1"/>
  <c r="N21" i="1"/>
  <c r="O21" i="1"/>
  <c r="J21" i="1"/>
  <c r="AD7" i="1"/>
  <c r="AD11" i="1"/>
  <c r="AD10" i="1"/>
  <c r="AD14" i="1"/>
  <c r="AD13" i="1"/>
  <c r="AD6" i="1"/>
  <c r="AD12" i="1"/>
  <c r="AD15" i="1"/>
  <c r="AD8" i="1"/>
  <c r="AD9" i="1"/>
  <c r="AD19" i="1"/>
  <c r="AD21" i="1"/>
  <c r="AD20" i="1"/>
  <c r="AD22" i="1"/>
  <c r="AF6" i="1"/>
  <c r="AF18" i="1"/>
</calcChain>
</file>

<file path=xl/sharedStrings.xml><?xml version="1.0" encoding="utf-8"?>
<sst xmlns="http://schemas.openxmlformats.org/spreadsheetml/2006/main" count="425" uniqueCount="269">
  <si>
    <t>:100060003C3C3C3CFFFF00000000000000000000A2</t>
  </si>
  <si>
    <t>:1000C0003C3C3C3CFFFF3C3C3C3C00000000000052</t>
  </si>
  <si>
    <t>:1000F00018181818FF181818181800000000000029</t>
  </si>
  <si>
    <t>:1001700000000000FF000000000000000000000080</t>
  </si>
  <si>
    <t>:1001B0000000FFFFFFFFFFFFFFFF00000000000047</t>
  </si>
  <si>
    <t>:020000040000FA</t>
  </si>
  <si>
    <t>(M) 7935</t>
  </si>
  <si>
    <t>SCM91517P</t>
  </si>
  <si>
    <t>from Video board 8709048 REV B</t>
  </si>
  <si>
    <t>TANDY CORPORATION 1979</t>
  </si>
  <si>
    <t>0</t>
  </si>
  <si>
    <t>Hex only (16 bytes per character)</t>
  </si>
  <si>
    <t>Char</t>
  </si>
  <si>
    <t>character is defined for 10 scan lines (lowest repeated)</t>
  </si>
  <si>
    <t>1</t>
  </si>
  <si>
    <t>:10000000000000003F3F3C3C3C3C0000000000542E</t>
  </si>
  <si>
    <t>:1000100000000000FCFC3C3C3C3C000000000052A6</t>
  </si>
  <si>
    <t>:100020003C3C3C3CFCFC0000000000000000005395</t>
  </si>
  <si>
    <t>:100030003C3C3C3C3F3F0000000000000000002D25</t>
  </si>
  <si>
    <t>:1000400000000000FFFF3C3C3C3C0000000000388A</t>
  </si>
  <si>
    <t>:100050003C3C3C3CFCFC3C3C3C3C00000000003098</t>
  </si>
  <si>
    <t>:100070003C3C3C3C3F3F3C3C3C3C00000000004DD5</t>
  </si>
  <si>
    <t>:1000800000000000FFFF1818181800000000006FA3</t>
  </si>
  <si>
    <t>:100090003C3C3C3CFC3C3C3C3C3C000000000064E4</t>
  </si>
  <si>
    <t>:1000A00018181818FFFF000000000000000000658D</t>
  </si>
  <si>
    <t>:1000B0003C3C3C3C3F3C3C3C3C3C00000000006C79</t>
  </si>
  <si>
    <t>:1000D0003C3C3C3CFF3C3C3C3C3C000000000049BC</t>
  </si>
  <si>
    <t>:1000E00018181818FFFF1818181800000000004909</t>
  </si>
  <si>
    <t>:1001000000000000000000003C3C00000000004334</t>
  </si>
  <si>
    <t>:100110000000000000003C3C3C3C00000000006887</t>
  </si>
  <si>
    <t>:10012000000000003C3C3C3C3C3C00000000006106</t>
  </si>
  <si>
    <t>:1001300000003C3C3C3C3C3C3C3C0000000000726D</t>
  </si>
  <si>
    <t>:100140003C3C3C3C3C3C3C3C3C3C00000000005205</t>
  </si>
  <si>
    <t>:100150001818181818181818181800000000004F60</t>
  </si>
  <si>
    <t>:1001600000000000FFFF0000000000000000004D44</t>
  </si>
  <si>
    <t>:100180000000000000000000FFFF0000000000323F</t>
  </si>
  <si>
    <t>:10019000000000000000FFFFFFFF0000000000352E</t>
  </si>
  <si>
    <t>:1001A00000000000FFFFFFFFFFFF0000000000361F</t>
  </si>
  <si>
    <t>:1001C000C0C0C0C0C0C0C0C0C0C00000000000634C</t>
  </si>
  <si>
    <t>:1001D000F0F0F0F0F0F0F0F0F0F000000000006857</t>
  </si>
  <si>
    <t>:1001E000FCFCFCFCFCFCFCFCFCFC000000000061D6</t>
  </si>
  <si>
    <t>:1001F00000081C2A0808080800000000000000721F</t>
  </si>
  <si>
    <t>:1002000000000000000000000000000000000020CE</t>
  </si>
  <si>
    <t>:10021000000808080808000800000000000000218D</t>
  </si>
  <si>
    <t>:100220000024242400000000000000000000002240</t>
  </si>
  <si>
    <t>:100230000024247E247E24240000000000000023EB</t>
  </si>
  <si>
    <t>:1002400000081E281C0A3C080000000000000024D2</t>
  </si>
  <si>
    <t>:10025000000062640810264600000000000000252F</t>
  </si>
  <si>
    <t>:1002600000304848304A443A0000000000000026B0</t>
  </si>
  <si>
    <t>:10027000000408100000000000000000000000273B</t>
  </si>
  <si>
    <t>:1002800000040810101008040000000000000028FE</t>
  </si>
  <si>
    <t>:1002900000201008080810200000000000000029BD</t>
  </si>
  <si>
    <t>:1002A00000082A1C3E1C2A08000000000000002A4A</t>
  </si>
  <si>
    <t>:1002B000000008083E080800000000000000002BB5</t>
  </si>
  <si>
    <t>:1002C0000000000000000808100000000000002CE2</t>
  </si>
  <si>
    <t>:1002D000000000007E000000000000000000002D73</t>
  </si>
  <si>
    <t>:1002E0000000000000000008000000000000002ED8</t>
  </si>
  <si>
    <t>:1002F0000000020408102040000000000000002F51</t>
  </si>
  <si>
    <t>:10030000003C42465A62423C0000000000000030BF</t>
  </si>
  <si>
    <t>:10031000000818280808083E00000000000000310E</t>
  </si>
  <si>
    <t>:10032000003C42020C30407E000000000000003221</t>
  </si>
  <si>
    <t>:10033000003C42021C02423C00000000000000336E</t>
  </si>
  <si>
    <t>:1003400000040C14247E04040000000000000034AB</t>
  </si>
  <si>
    <t>:10035000007E4078040244380000000000000035B0</t>
  </si>
  <si>
    <t>:10036000001C20407C42423C00000000000000369F</t>
  </si>
  <si>
    <t>:10037000007E42040810101000000000000000374A</t>
  </si>
  <si>
    <t>:10038000003C42423C42423C000000000000003879</t>
  </si>
  <si>
    <t>:10039000003C42423E0204380000000000000039E8</t>
  </si>
  <si>
    <t>:1003A0000000000800000800000000000000003A03</t>
  </si>
  <si>
    <t>:1003B0000000000800000808100000000000003BDA</t>
  </si>
  <si>
    <t>:1003C00000060C1830180C06000000000000003C6D</t>
  </si>
  <si>
    <t>:1003D0000000007E007E0000000000000000003DE4</t>
  </si>
  <si>
    <t>:1003E000006030180C183060000000000000003E73</t>
  </si>
  <si>
    <t>:1003F000003C42020C100010000000000000003F12</t>
  </si>
  <si>
    <t>:10040000001C224A564C201E000000000000004044</t>
  </si>
  <si>
    <t>:10041000001824427E4242420000000000000041D9</t>
  </si>
  <si>
    <t>:10042000007C22223C22227C0000000000000042CE</t>
  </si>
  <si>
    <t>:10043000001C22404040221C00000000000000433D</t>
  </si>
  <si>
    <t>:1004400000782422222224780000000000000044CA</t>
  </si>
  <si>
    <t>:10045000007E20203820207E00000000007800452B</t>
  </si>
  <si>
    <t>:10046000007E202038202020000000000078004678</t>
  </si>
  <si>
    <t>:10047000001C22404E42221C0000000000000047E9</t>
  </si>
  <si>
    <t>:10048000004242427E42424200000000000000481A</t>
  </si>
  <si>
    <t>:10049000001C08080808081C0000000000000049B3</t>
  </si>
  <si>
    <t>:1004A000000E040404044438000000000000004A68</t>
  </si>
  <si>
    <t>:1004B0000042444870484442000000000000004BE5</t>
  </si>
  <si>
    <t>:1004C000007020202020227E000000000078004CD8</t>
  </si>
  <si>
    <t>:1004D0000042665A5A424242000000000000004DAD</t>
  </si>
  <si>
    <t>:1004E000004262524A464242000000000000004EB4</t>
  </si>
  <si>
    <t>:1004F000003C42424242423C000000000000004FEB</t>
  </si>
  <si>
    <t>:10050000007C42427C40404000000000000000505F</t>
  </si>
  <si>
    <t>:10051000003C4242424A443A0000000000000051C0</t>
  </si>
  <si>
    <t>:10052000007C42427C48444200000000000000522F</t>
  </si>
  <si>
    <t>:10053000003C42403C02423C0000000000000053EE</t>
  </si>
  <si>
    <t>:10054000003E0808080808080000000000000054E9</t>
  </si>
  <si>
    <t>:10055000004242424242423C00000000000000557E</t>
  </si>
  <si>
    <t>:1005600000424242242418180000000000000056F7</t>
  </si>
  <si>
    <t>:1005700000414141414955220000000000780057E8</t>
  </si>
  <si>
    <t>:1005800000424224182442420000000000000058AB</t>
  </si>
  <si>
    <t>:10059000002222221C080808000000000000005968</t>
  </si>
  <si>
    <t>:1005A000007E02041820407E000000000000005A77</t>
  </si>
  <si>
    <t>:1005B000003C20202020203C000000000000005BC8</t>
  </si>
  <si>
    <t>:1005C0000000402010080402000000000000005C51</t>
  </si>
  <si>
    <t>:1005D000003C04040404043C000000000000005D32</t>
  </si>
  <si>
    <t>:1005E0000008142200000000000000000000005E6F</t>
  </si>
  <si>
    <t>:1005F0000000000000000000FF0000000000005F9D</t>
  </si>
  <si>
    <t>:10060000001008040000000000000000000000606E</t>
  </si>
  <si>
    <t>:1006100000000038043C443A000000000000006183</t>
  </si>
  <si>
    <t>:100620000040405C6242625C00000000000000622A</t>
  </si>
  <si>
    <t>:100630000000003C4240423C00000000000000631B</t>
  </si>
  <si>
    <t>:100640000002023A4642463A000000000000006400</t>
  </si>
  <si>
    <t>:100650000000003C427E403C0000000000000065BD</t>
  </si>
  <si>
    <t>:10066000000C12107C10101000000000000000664A</t>
  </si>
  <si>
    <t>:100670000000003A46463A023C00000000000067D5</t>
  </si>
  <si>
    <t>:100680000040405C624242420000000000000068FE</t>
  </si>
  <si>
    <t>:10069000000800180808081C00000000000000699D</t>
  </si>
  <si>
    <t>:1006A0000004000C04040444380000000000006A48</t>
  </si>
  <si>
    <t>:1006B0000020202428302824000000000078006B4F</t>
  </si>
  <si>
    <t>:1006C000001808080808081C000000000000006C62</t>
  </si>
  <si>
    <t>:1006D0000000007649494949000000000000006D13</t>
  </si>
  <si>
    <t>:1006E0000000005C62424242000000000000006E18</t>
  </si>
  <si>
    <t>:1006F0000000003C4242423C000000000000006F4D</t>
  </si>
  <si>
    <t>:100700000000005C62625C4040000000000000707D</t>
  </si>
  <si>
    <t>:100710000000003A46463A02020000000000007164</t>
  </si>
  <si>
    <t>:100720000000005C624040400000000000000072D9</t>
  </si>
  <si>
    <t>:100730000000003E403C027C00000000000000730E</t>
  </si>
  <si>
    <t>:100740000010107C1010120C00000000000000745B</t>
  </si>
  <si>
    <t>:10075000000000424242463A0000000000000075DE</t>
  </si>
  <si>
    <t>:100760000000004242422418000000000000007611</t>
  </si>
  <si>
    <t>:1007700000000041494949360000000000000077B0</t>
  </si>
  <si>
    <t>:10078000000000422418244200000000000000780D</t>
  </si>
  <si>
    <t>:100790000000004242463A023C000000000000799E</t>
  </si>
  <si>
    <t>:1007A0000000007E0418207E000000000000007A97</t>
  </si>
  <si>
    <t>:1007B000000C10102010100C000000000000007B46</t>
  </si>
  <si>
    <t>:1007C0000008080800080808000000000000007C7D</t>
  </si>
  <si>
    <t>:1007D0000030080804080830000000000000007D18</t>
  </si>
  <si>
    <t>:1007E0000030490600000000000000000000007E0C</t>
  </si>
  <si>
    <t>:1007F0000008083E0808003E000000000044454C88</t>
  </si>
  <si>
    <t>:10080000FFFFFFFFFFFFFFFFFFFF0000000000549E</t>
  </si>
  <si>
    <t>:100810000F0F0FFFFFFFFFFFFFFF00000000005260</t>
  </si>
  <si>
    <t>:10082000F0F0F0FFFFFFFFFFFFFF000000000053AC</t>
  </si>
  <si>
    <t>:10083000000000FFFFFFFFFFFFFF000000000000BF</t>
  </si>
  <si>
    <t>:10084000FFFFFF0F0F0FFFFFFFFF0000000000473B</t>
  </si>
  <si>
    <t>:100850000F0F0F0F0F0FFFFFFFFF000000000072D0</t>
  </si>
  <si>
    <t>:10086000F0F0F00F0F0FFFFFFFFF0000000000612E</t>
  </si>
  <si>
    <t>:100870000000000F0F0FFFFFFFFF000000000070DF</t>
  </si>
  <si>
    <t>:10088000FFFFFFF0F0F0FFFFFFFF00000000006837</t>
  </si>
  <si>
    <t>:100890000F0F0FF0F0F0FFFFFFFF000000000069F6</t>
  </si>
  <si>
    <t>:1008A000F0F0F0F0F0F0FFFFFFFF00000000006349</t>
  </si>
  <si>
    <t>:1008B000000000F0F0F0FFFFFFFF000000000073F9</t>
  </si>
  <si>
    <t>:1008C000FFFFFF000000FFFFFFFF0000000000002F</t>
  </si>
  <si>
    <t>:1008D0000F0F0F000000FFFFFFFF000000000036B9</t>
  </si>
  <si>
    <t>:1008E000F0F0F0000000FFFFFFFF00000000003408</t>
  </si>
  <si>
    <t>:1008F000000000000000FFFFFFFF000000000000FC</t>
  </si>
  <si>
    <t>:10090000FFFFFFFFFFFF0F0F0F0F0000000000436E</t>
  </si>
  <si>
    <t>:100910000F0F0FFFFFFF0F0F0F0F00000000006809</t>
  </si>
  <si>
    <t>:10092000F0F0F0FFFFFF0F0F0F0F0000000000615D</t>
  </si>
  <si>
    <t>:10093000000000FFFFFF0F0F0F0F0000000000720C</t>
  </si>
  <si>
    <t>:10094000FFFFFF0F0F0F0F0F0F0F000000000061E0</t>
  </si>
  <si>
    <t>:100950000F0F0F0F0F0F0F0F0F0F0000000000639E</t>
  </si>
  <si>
    <t>:10096000F0F0F00F0F0F0F0F0F0F000000000074DA</t>
  </si>
  <si>
    <t>:100970000000000F0F0F0F0F0F0F000000000065A9</t>
  </si>
  <si>
    <t>:10098000FFFFFFF0F0F00F0F0F0F000000000072EC</t>
  </si>
  <si>
    <t>:100990000F0F0FF0F0F00F0F0F0F000000000073AB</t>
  </si>
  <si>
    <t>:1009A000F0F0F0F0F0F00F0F0F0F0000000000006B</t>
  </si>
  <si>
    <t>:1009B000000000F0F0F00F0F0F0F000000000032F9</t>
  </si>
  <si>
    <t>:1009C000FFFFFF0000000F0F0F0F00000000007876</t>
  </si>
  <si>
    <t>:1009D0000F0F0F0000000F0F0F0F0000000000337B</t>
  </si>
  <si>
    <t>:1009E000F0F0F00000000F0F0F0F000000000000FB</t>
  </si>
  <si>
    <t>:1009F0000000000000000F0F0F0F00000000004D6E</t>
  </si>
  <si>
    <t>:100A0000FFFFFFFFFFFFF0F0F0F0000000000061CB</t>
  </si>
  <si>
    <t>:100A10000F0F0FFFFFFFF0F0F0F000000000007478</t>
  </si>
  <si>
    <t>:100A2000F0F0F0FFFFFFF0F0F0F0000000000072C7</t>
  </si>
  <si>
    <t>:100A3000000000FFFFFFF0F0F0F000000000006990</t>
  </si>
  <si>
    <t>:100A4000FFFFFF0F0F0FF0F0F0F000000000007844</t>
  </si>
  <si>
    <t>:100A50000F0F0F0F0F0FF0F0F0F00000000000007C</t>
  </si>
  <si>
    <t>:100A6000F0F0F00F0F0FF0F0F0F0000000000000C9</t>
  </si>
  <si>
    <t>:100A70000000000F0F0FF0F0F0F000000000000089</t>
  </si>
  <si>
    <t>:100A8000FFFFFFF0F0F0F0F0F0F0000000000028B1</t>
  </si>
  <si>
    <t>:100A90000F0F0FF0F0F0F0F0F0F000000000004356</t>
  </si>
  <si>
    <t>:100AA000F0F0F0F0F0F0F0F0F0F0000000000029BD</t>
  </si>
  <si>
    <t>:100AB000000000F0F0F0F0F0F0F0000000000000A6</t>
  </si>
  <si>
    <t>:100AC000FFFFFF000000F0F0F0F000000000003237</t>
  </si>
  <si>
    <t>:100AD0000F0F0F000000F0F0F0F0000000000030F9</t>
  </si>
  <si>
    <t>:100AE000F0F0F0000000F0F0F0F000000000003145</t>
  </si>
  <si>
    <t>:100AF000000000000000F0F0F0F0000000000039FD</t>
  </si>
  <si>
    <t>:100B0000FFFFFFFFFFFF00000000000000000000EB</t>
  </si>
  <si>
    <t>:100B10000F0F0FFFFFFF0000000000000000004C5F</t>
  </si>
  <si>
    <t>:100B2000F0F0F0FFFFFF0000000000000000006197</t>
  </si>
  <si>
    <t>:100B3000000000FFFFFF0000000000000000007345</t>
  </si>
  <si>
    <t>:100B4000FFFFFFF0F0F00000000000000000006573</t>
  </si>
  <si>
    <t>:100B50000F0F0FF0F0F00000000000000000007226</t>
  </si>
  <si>
    <t>:100B6000F0F0F0F0F0F0000000000000000000568F</t>
  </si>
  <si>
    <t>:100B7000000000F0F0F0000000000000000000693C</t>
  </si>
  <si>
    <t>:100B8000FFFFFF0F0F0F00000000000000000073C8</t>
  </si>
  <si>
    <t>:100B90000F0F0F0F0F0F0000000000000000006992</t>
  </si>
  <si>
    <t>:100BA000F0F0F00F0F0F0000000000000000006FD9</t>
  </si>
  <si>
    <t>:100BB0000000000F0F0F0000000000000000006E9A</t>
  </si>
  <si>
    <t>:100BC000FFFFFF000000000000000000000000F038</t>
  </si>
  <si>
    <t>:100BD0000F0F0F0000000000000000000000000FD9</t>
  </si>
  <si>
    <t>:100BE000F0F0F0000000000000000000000000FF36</t>
  </si>
  <si>
    <t>:100BF00000000000000000000000000000000000F5</t>
  </si>
  <si>
    <t>:100C000000000000000000000000000000000020C4</t>
  </si>
  <si>
    <t>:100C10000008080808080008000000000000002183</t>
  </si>
  <si>
    <t>:100C200000242424000000000000000000520022E4</t>
  </si>
  <si>
    <t>:100C30000024247E247E242400000000004500239C</t>
  </si>
  <si>
    <t>:100C400000081E281C0A3C08000000000056002472</t>
  </si>
  <si>
    <t>:100C500000006264081026460000000000450025E0</t>
  </si>
  <si>
    <t>:100C600000304848304A443A000000000052002654</t>
  </si>
  <si>
    <t>:100C700000040810000000000000000000530027DE</t>
  </si>
  <si>
    <t>:100C800000040810101008040000000000450028AF</t>
  </si>
  <si>
    <t>:100C900000201008080810200000000000000029B3</t>
  </si>
  <si>
    <t>:100CA00000082A1C3E1C2A08000000000055002AEB</t>
  </si>
  <si>
    <t>:100CB000000008083E080800000000000043002B68</t>
  </si>
  <si>
    <t>:100CC0000000000000000808100000000000002CD8</t>
  </si>
  <si>
    <t>:100CD000000000007E000000000000000000002D69</t>
  </si>
  <si>
    <t>:100CE0000000000000000008000000000000002ECE</t>
  </si>
  <si>
    <t>:100CF0000000020408102040000000000000002F47</t>
  </si>
  <si>
    <t>:100D0000003C42465A62423C0000000000000030B5</t>
  </si>
  <si>
    <t>:100D1000000818280808083E000000000000003104</t>
  </si>
  <si>
    <t>:100D2000003C42020C30407E000000000000003217</t>
  </si>
  <si>
    <t>:100D3000003C42021C02423C000000000000003364</t>
  </si>
  <si>
    <t>:100D400000040C14247E04040000000000000034A1</t>
  </si>
  <si>
    <t>:100D5000007E4078040244380000000000000035A6</t>
  </si>
  <si>
    <t>:100D6000001C20407C42423C000000000000003695</t>
  </si>
  <si>
    <t>:100D7000007E420408101010000000000000003740</t>
  </si>
  <si>
    <t>:100D8000003C42423C42423C00000000000000386F</t>
  </si>
  <si>
    <t>:100D9000003C42423E0204380000000000000039DE</t>
  </si>
  <si>
    <t>:100DA0000000000800000800000000000000003AF9</t>
  </si>
  <si>
    <t>:100DB0000000000800000808100000000000003BD0</t>
  </si>
  <si>
    <t>:100DC00000060C1830180C06000000000000003C63</t>
  </si>
  <si>
    <t>:100DD0000000007E007E0000000000000000003DDA</t>
  </si>
  <si>
    <t>:100DE000006030180C183060000000000000003E69</t>
  </si>
  <si>
    <t>:100DF000003C42020C100010000000000000003F08</t>
  </si>
  <si>
    <t>:100E0000001C224A564C201E00000000000000403A</t>
  </si>
  <si>
    <t>:100E1000001824427E4242420000000000000041CF</t>
  </si>
  <si>
    <t>:100E2000007C22223C22227C0000000000000042C4</t>
  </si>
  <si>
    <t>:100E3000001C22404040221C000000000000004333</t>
  </si>
  <si>
    <t>:100E400000782422222224780000000000000044C0</t>
  </si>
  <si>
    <t>:100E5000007E20203820207E000000000078004521</t>
  </si>
  <si>
    <t>:100E6000007E20203820202000000000007800466E</t>
  </si>
  <si>
    <t>:100E7000001C22404E42221C0000000000000047DF</t>
  </si>
  <si>
    <t>:100E8000004242427E424242000000000000004810</t>
  </si>
  <si>
    <t>:100E9000001C08080808081C0000000000000049A9</t>
  </si>
  <si>
    <t>:100EA000000E040404044438000000000000004A5E</t>
  </si>
  <si>
    <t>:100EB0000042444870484442000000000000004BDB</t>
  </si>
  <si>
    <t>:100EC000007020202020227E000000000078004CCE</t>
  </si>
  <si>
    <t>:100ED0000042665A5A424242000000000000004DA3</t>
  </si>
  <si>
    <t>:100EE000004262524A464242000000000000004EAA</t>
  </si>
  <si>
    <t>:100EF000003C42424242423C000000000000004FE1</t>
  </si>
  <si>
    <t>:100F0000007C42427C404040000000000000005055</t>
  </si>
  <si>
    <t>:100F1000003C4242424A443A0000000000000051B6</t>
  </si>
  <si>
    <t>:100F2000007C42427C484442000000000000005225</t>
  </si>
  <si>
    <t>:100F3000003C42403C02423C0000000000000053E4</t>
  </si>
  <si>
    <t>:100F4000003E0808080808080000000000000054DF</t>
  </si>
  <si>
    <t>:100F5000004242424242423C000000000000005574</t>
  </si>
  <si>
    <t>:100F600000424242242418180000000000000056ED</t>
  </si>
  <si>
    <t>:100F700000414141414955220000000000780057DE</t>
  </si>
  <si>
    <t>:100F800000424224182442420000000000000058A1</t>
  </si>
  <si>
    <t>:100F9000002222221C08080800000000000000595E</t>
  </si>
  <si>
    <t>:100FA000007E02041820407E000000000000005A6D</t>
  </si>
  <si>
    <t>:100FB000003C20202020203C000000000000005BBE</t>
  </si>
  <si>
    <t>:100FC0000000402010080402000000000000005C47</t>
  </si>
  <si>
    <t>:100FD000003C04040404043C000000000000005D28</t>
  </si>
  <si>
    <t>:100FE0000008142200000000000000000000005E65</t>
  </si>
  <si>
    <t>:100FF0000008083E0808003E000000000044454C80</t>
  </si>
  <si>
    <t>Upper half of the Character rom is displayed in reverse.</t>
  </si>
  <si>
    <t>Content is adjusted to that (reversed)</t>
  </si>
  <si>
    <t>128 - 191 is Tandy Model I graphics (in 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</si>
</sst>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C00"/>
      <name val="Calibri"/>
      <family val="2"/>
      <scheme val="minor"/>
    </font>
    <font>
      <sz val="9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4" borderId="0" xfId="8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33" borderId="0" xfId="0" applyFill="1" applyAlignment="1">
      <alignment horizontal="center"/>
    </xf>
    <xf numFmtId="0" fontId="19" fillId="33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16" fmlaLink="$H$1" horiz="1" max="255" page="10" val="167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121103</xdr:colOff>
          <xdr:row>26</xdr:row>
          <xdr:rowOff>19049</xdr:rowOff>
        </xdr:from>
        <xdr:to>
          <xdr:col>18</xdr:col>
          <xdr:colOff>468085</xdr:colOff>
          <xdr:row>26</xdr:row>
          <xdr:rowOff>180974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ka/AppData/Roaming/Microsoft/AddIns/RBTT_Functions1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RBTT_Functions1"/>
    </sheetNames>
    <definedNames>
      <definedName name="Merge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57"/>
  <sheetViews>
    <sheetView tabSelected="1" zoomScale="140" zoomScaleNormal="140" workbookViewId="0">
      <selection activeCell="E39" sqref="E39"/>
    </sheetView>
  </sheetViews>
  <sheetFormatPr defaultRowHeight="15" x14ac:dyDescent="0.25"/>
  <cols>
    <col min="1" max="1" width="5.7109375" style="1" customWidth="1"/>
    <col min="2" max="2" width="49.140625" style="17" customWidth="1"/>
    <col min="3" max="3" width="46.42578125" style="17" customWidth="1"/>
    <col min="4" max="4" width="6.5703125" style="1" customWidth="1"/>
    <col min="6" max="6" width="9.140625" style="1"/>
    <col min="9" max="16" width="2.42578125" style="2" customWidth="1"/>
    <col min="18" max="18" width="3.85546875" style="1" customWidth="1"/>
    <col min="20" max="24" width="2.5703125" style="1" customWidth="1"/>
    <col min="25" max="27" width="2.5703125" customWidth="1"/>
    <col min="28" max="28" width="4.140625" customWidth="1"/>
    <col min="29" max="29" width="10.42578125" style="1" customWidth="1"/>
    <col min="30" max="30" width="5" style="1" customWidth="1"/>
    <col min="31" max="31" width="4.28515625" customWidth="1"/>
    <col min="32" max="32" width="13.85546875" customWidth="1"/>
  </cols>
  <sheetData>
    <row r="1" spans="1:32" x14ac:dyDescent="0.25">
      <c r="A1" s="15"/>
      <c r="B1" s="16" t="s">
        <v>5</v>
      </c>
      <c r="C1" s="16" t="s">
        <v>11</v>
      </c>
      <c r="D1" s="15" t="s">
        <v>12</v>
      </c>
      <c r="H1">
        <v>167</v>
      </c>
    </row>
    <row r="2" spans="1:32" x14ac:dyDescent="0.25">
      <c r="A2" s="1">
        <v>0</v>
      </c>
      <c r="B2" s="17" t="s">
        <v>15</v>
      </c>
      <c r="C2" s="17" t="str">
        <f t="shared" ref="C2:C3" si="0">MID(B2,10,32)</f>
        <v>000000003F3F3C3C3C3C000000000054</v>
      </c>
      <c r="D2" s="1" t="str">
        <f>IF(A2&gt;32,CHAR(A2),"--")</f>
        <v>--</v>
      </c>
      <c r="E2">
        <v>1</v>
      </c>
      <c r="F2" s="1" t="str">
        <f ca="1">MID(G$28,2*E2,2)</f>
        <v>10</v>
      </c>
      <c r="G2" t="str">
        <f ca="1">RIGHT("00000000"&amp;HEX2BIN(F2),8)</f>
        <v>00010000</v>
      </c>
      <c r="I2" s="2" t="str">
        <f ca="1">MID($G2,1,1)</f>
        <v>0</v>
      </c>
      <c r="J2" s="2" t="str">
        <f ca="1">MID($G2,2,1)</f>
        <v>0</v>
      </c>
      <c r="K2" s="2" t="str">
        <f ca="1">MID($G2,3,1)</f>
        <v>0</v>
      </c>
      <c r="L2" s="2" t="str">
        <f ca="1">MID($G2,4,1)</f>
        <v>1</v>
      </c>
      <c r="M2" s="2" t="str">
        <f ca="1">MID($G2,5,1)</f>
        <v>0</v>
      </c>
      <c r="N2" s="2" t="str">
        <f ca="1">MID($G2,6,1)</f>
        <v>0</v>
      </c>
      <c r="O2" s="2" t="str">
        <f ca="1">MID($G2,7,1)</f>
        <v>0</v>
      </c>
      <c r="P2" s="2" t="str">
        <f ca="1">MID($G2,8,1)</f>
        <v>0</v>
      </c>
    </row>
    <row r="3" spans="1:32" x14ac:dyDescent="0.25">
      <c r="A3" s="1">
        <v>1</v>
      </c>
      <c r="B3" s="17" t="s">
        <v>16</v>
      </c>
      <c r="C3" s="17" t="str">
        <f t="shared" si="0"/>
        <v>00000000FCFC3C3C3C3C000000000052</v>
      </c>
      <c r="D3" s="1" t="str">
        <f t="shared" ref="D3:D66" si="1">IF(A3&gt;32,CHAR(A3),"--")</f>
        <v>--</v>
      </c>
      <c r="E3">
        <v>2</v>
      </c>
      <c r="F3" s="1" t="str">
        <f t="shared" ref="F3:F22" ca="1" si="2">MID(G$28,2*E3,2)</f>
        <v>0A</v>
      </c>
      <c r="G3" t="str">
        <f t="shared" ref="G3:G22" ca="1" si="3">RIGHT("00000000"&amp;HEX2BIN(F3),8)</f>
        <v>00001010</v>
      </c>
      <c r="I3" s="2" t="str">
        <f t="shared" ref="I3:I22" ca="1" si="4">MID($G3,1,1)</f>
        <v>0</v>
      </c>
      <c r="J3" s="2" t="str">
        <f t="shared" ref="J3:J22" ca="1" si="5">MID($G3,2,1)</f>
        <v>0</v>
      </c>
      <c r="K3" s="2" t="str">
        <f t="shared" ref="K3:K22" ca="1" si="6">MID($G3,3,1)</f>
        <v>0</v>
      </c>
      <c r="L3" s="2" t="str">
        <f t="shared" ref="L3:L22" ca="1" si="7">MID($G3,4,1)</f>
        <v>0</v>
      </c>
      <c r="M3" s="2" t="str">
        <f t="shared" ref="M3:M22" ca="1" si="8">MID($G3,5,1)</f>
        <v>1</v>
      </c>
      <c r="N3" s="2" t="str">
        <f t="shared" ref="N3:N22" ca="1" si="9">MID($G3,6,1)</f>
        <v>0</v>
      </c>
      <c r="O3" s="2" t="str">
        <f t="shared" ref="O3:O22" ca="1" si="10">MID($G3,7,1)</f>
        <v>1</v>
      </c>
      <c r="P3" s="2" t="str">
        <f t="shared" ref="P3:P22" ca="1" si="11">MID($G3,8,1)</f>
        <v>0</v>
      </c>
      <c r="T3"/>
      <c r="U3"/>
      <c r="V3"/>
      <c r="W3"/>
      <c r="X3"/>
    </row>
    <row r="4" spans="1:32" x14ac:dyDescent="0.25">
      <c r="A4" s="1">
        <v>2</v>
      </c>
      <c r="B4" s="17" t="s">
        <v>17</v>
      </c>
      <c r="C4" s="17" t="str">
        <f>MID(B4,10,32)</f>
        <v>3C3C3C3CFCFC00000000000000000053</v>
      </c>
      <c r="D4" s="1" t="str">
        <f t="shared" si="1"/>
        <v>--</v>
      </c>
      <c r="E4">
        <v>3</v>
      </c>
      <c r="F4" s="1" t="str">
        <f t="shared" ca="1" si="2"/>
        <v>70</v>
      </c>
      <c r="G4" t="str">
        <f t="shared" ca="1" si="3"/>
        <v>01110000</v>
      </c>
      <c r="I4" s="2" t="str">
        <f t="shared" ca="1" si="4"/>
        <v>0</v>
      </c>
      <c r="J4" s="2" t="str">
        <f t="shared" ca="1" si="5"/>
        <v>1</v>
      </c>
      <c r="K4" s="2" t="str">
        <f t="shared" ca="1" si="6"/>
        <v>1</v>
      </c>
      <c r="L4" s="2" t="str">
        <f t="shared" ca="1" si="7"/>
        <v>1</v>
      </c>
      <c r="M4" s="2" t="str">
        <f t="shared" ca="1" si="8"/>
        <v>0</v>
      </c>
      <c r="N4" s="2" t="str">
        <f t="shared" ca="1" si="9"/>
        <v>0</v>
      </c>
      <c r="O4" s="2" t="str">
        <f t="shared" ca="1" si="10"/>
        <v>0</v>
      </c>
      <c r="P4" s="2" t="str">
        <f t="shared" ca="1" si="11"/>
        <v>0</v>
      </c>
      <c r="T4"/>
      <c r="U4"/>
      <c r="V4"/>
      <c r="W4"/>
      <c r="X4"/>
    </row>
    <row r="5" spans="1:32" x14ac:dyDescent="0.25">
      <c r="A5" s="1">
        <v>3</v>
      </c>
      <c r="B5" s="17" t="s">
        <v>18</v>
      </c>
      <c r="C5" s="17" t="str">
        <f t="shared" ref="C5:C68" si="12">MID(B5,10,32)</f>
        <v>3C3C3C3C3F3F0000000000000000002D</v>
      </c>
      <c r="D5" s="1" t="str">
        <f t="shared" si="1"/>
        <v>--</v>
      </c>
      <c r="E5">
        <v>4</v>
      </c>
      <c r="F5" s="1" t="str">
        <f t="shared" ca="1" si="2"/>
        <v>00</v>
      </c>
      <c r="G5" t="str">
        <f t="shared" ca="1" si="3"/>
        <v>00000000</v>
      </c>
      <c r="I5" s="2" t="str">
        <f t="shared" ca="1" si="4"/>
        <v>0</v>
      </c>
      <c r="J5" s="2" t="str">
        <f t="shared" ca="1" si="5"/>
        <v>0</v>
      </c>
      <c r="K5" s="2" t="str">
        <f t="shared" ca="1" si="6"/>
        <v>0</v>
      </c>
      <c r="L5" s="2" t="str">
        <f t="shared" ca="1" si="7"/>
        <v>0</v>
      </c>
      <c r="M5" s="2" t="str">
        <f t="shared" ca="1" si="8"/>
        <v>0</v>
      </c>
      <c r="N5" s="2" t="str">
        <f t="shared" ca="1" si="9"/>
        <v>0</v>
      </c>
      <c r="O5" s="2" t="str">
        <f t="shared" ca="1" si="10"/>
        <v>0</v>
      </c>
      <c r="P5" s="2" t="str">
        <f t="shared" ca="1" si="11"/>
        <v>0</v>
      </c>
      <c r="T5"/>
      <c r="U5"/>
      <c r="V5"/>
      <c r="W5"/>
      <c r="X5"/>
    </row>
    <row r="6" spans="1:32" x14ac:dyDescent="0.25">
      <c r="A6" s="1">
        <v>4</v>
      </c>
      <c r="B6" s="17" t="s">
        <v>19</v>
      </c>
      <c r="C6" s="17" t="str">
        <f t="shared" si="12"/>
        <v>00000000FFFF3C3C3C3C000000000038</v>
      </c>
      <c r="D6" s="1" t="str">
        <f t="shared" si="1"/>
        <v>--</v>
      </c>
      <c r="E6">
        <v>5</v>
      </c>
      <c r="F6" s="1" t="str">
        <f t="shared" ca="1" si="2"/>
        <v>00</v>
      </c>
      <c r="G6" t="str">
        <f t="shared" ca="1" si="3"/>
        <v>00000000</v>
      </c>
      <c r="I6" s="3" t="str">
        <f t="shared" ca="1" si="4"/>
        <v>0</v>
      </c>
      <c r="J6" s="3" t="str">
        <f t="shared" ca="1" si="5"/>
        <v>0</v>
      </c>
      <c r="K6" s="3" t="str">
        <f t="shared" ca="1" si="6"/>
        <v>0</v>
      </c>
      <c r="L6" s="3" t="str">
        <f t="shared" ca="1" si="7"/>
        <v>0</v>
      </c>
      <c r="M6" s="3" t="str">
        <f t="shared" ca="1" si="8"/>
        <v>0</v>
      </c>
      <c r="N6" s="3" t="str">
        <f t="shared" ca="1" si="9"/>
        <v>0</v>
      </c>
      <c r="O6" s="3" t="str">
        <f t="shared" ca="1" si="10"/>
        <v>0</v>
      </c>
      <c r="P6" s="3" t="str">
        <f t="shared" ca="1" si="11"/>
        <v>0</v>
      </c>
      <c r="R6" s="1">
        <v>1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C6" s="1" t="str">
        <f>[1]!Merge(T6:AA6,"")</f>
        <v>00000000</v>
      </c>
      <c r="AD6" s="1" t="str">
        <f>IF(AC6="","..",BIN2HEX(AC6,2))</f>
        <v>00</v>
      </c>
      <c r="AF6" t="str">
        <f>[1]!Merge(AD6:AD15,"")</f>
        <v>00414141222214080000</v>
      </c>
    </row>
    <row r="7" spans="1:32" x14ac:dyDescent="0.25">
      <c r="A7" s="1">
        <v>5</v>
      </c>
      <c r="B7" s="17" t="s">
        <v>20</v>
      </c>
      <c r="C7" s="17" t="str">
        <f t="shared" si="12"/>
        <v>3C3C3C3CFCFC3C3C3C3C000000000030</v>
      </c>
      <c r="D7" s="1" t="str">
        <f t="shared" si="1"/>
        <v>--</v>
      </c>
      <c r="E7">
        <v>6</v>
      </c>
      <c r="F7" s="1" t="str">
        <f t="shared" ca="1" si="2"/>
        <v>00</v>
      </c>
      <c r="G7" t="str">
        <f t="shared" ca="1" si="3"/>
        <v>00000000</v>
      </c>
      <c r="I7" s="3" t="str">
        <f t="shared" ca="1" si="4"/>
        <v>0</v>
      </c>
      <c r="J7" s="3" t="str">
        <f t="shared" ca="1" si="5"/>
        <v>0</v>
      </c>
      <c r="K7" s="3" t="str">
        <f t="shared" ca="1" si="6"/>
        <v>0</v>
      </c>
      <c r="L7" s="3" t="str">
        <f t="shared" ca="1" si="7"/>
        <v>0</v>
      </c>
      <c r="M7" s="3" t="str">
        <f t="shared" ca="1" si="8"/>
        <v>0</v>
      </c>
      <c r="N7" s="3" t="str">
        <f t="shared" ca="1" si="9"/>
        <v>0</v>
      </c>
      <c r="O7" s="3" t="str">
        <f t="shared" ca="1" si="10"/>
        <v>0</v>
      </c>
      <c r="P7" s="3" t="str">
        <f t="shared" ca="1" si="11"/>
        <v>0</v>
      </c>
      <c r="R7" s="1">
        <v>2</v>
      </c>
      <c r="T7" s="3" t="s">
        <v>10</v>
      </c>
      <c r="U7" s="3" t="s">
        <v>14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14</v>
      </c>
      <c r="AC7" s="1" t="str">
        <f>[1]!Merge(T7:AA7,"")</f>
        <v>01000001</v>
      </c>
      <c r="AD7" s="1" t="str">
        <f>IF(AC7="","..",BIN2HEX(AC7,2))</f>
        <v>41</v>
      </c>
    </row>
    <row r="8" spans="1:32" x14ac:dyDescent="0.25">
      <c r="A8" s="1">
        <v>6</v>
      </c>
      <c r="B8" s="17" t="s">
        <v>0</v>
      </c>
      <c r="C8" s="17" t="str">
        <f t="shared" si="12"/>
        <v>3C3C3C3CFFFF00000000000000000000</v>
      </c>
      <c r="D8" s="1" t="str">
        <f t="shared" si="1"/>
        <v>--</v>
      </c>
      <c r="E8">
        <v>7</v>
      </c>
      <c r="F8" s="1" t="str">
        <f t="shared" ca="1" si="2"/>
        <v>00</v>
      </c>
      <c r="G8" t="str">
        <f t="shared" ca="1" si="3"/>
        <v>00000000</v>
      </c>
      <c r="I8" s="3" t="str">
        <f t="shared" ca="1" si="4"/>
        <v>0</v>
      </c>
      <c r="J8" s="3" t="str">
        <f t="shared" ca="1" si="5"/>
        <v>0</v>
      </c>
      <c r="K8" s="3" t="str">
        <f t="shared" ca="1" si="6"/>
        <v>0</v>
      </c>
      <c r="L8" s="3" t="str">
        <f t="shared" ca="1" si="7"/>
        <v>0</v>
      </c>
      <c r="M8" s="3" t="str">
        <f t="shared" ca="1" si="8"/>
        <v>0</v>
      </c>
      <c r="N8" s="3" t="str">
        <f t="shared" ca="1" si="9"/>
        <v>0</v>
      </c>
      <c r="O8" s="3" t="str">
        <f t="shared" ca="1" si="10"/>
        <v>0</v>
      </c>
      <c r="P8" s="3" t="str">
        <f t="shared" ca="1" si="11"/>
        <v>0</v>
      </c>
      <c r="R8" s="1">
        <v>3</v>
      </c>
      <c r="T8" s="3" t="s">
        <v>10</v>
      </c>
      <c r="U8" s="3" t="s">
        <v>14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14</v>
      </c>
      <c r="AC8" s="1" t="str">
        <f>[1]!Merge(T8:AA8,"")</f>
        <v>01000001</v>
      </c>
      <c r="AD8" s="1" t="str">
        <f t="shared" ref="AD8:AD15" si="13">IF(AC8="","..",BIN2HEX(AC8,2))</f>
        <v>41</v>
      </c>
    </row>
    <row r="9" spans="1:32" x14ac:dyDescent="0.25">
      <c r="A9" s="1">
        <v>7</v>
      </c>
      <c r="B9" s="17" t="s">
        <v>21</v>
      </c>
      <c r="C9" s="17" t="str">
        <f t="shared" si="12"/>
        <v>3C3C3C3C3F3F3C3C3C3C00000000004D</v>
      </c>
      <c r="D9" s="1" t="str">
        <f t="shared" si="1"/>
        <v>--</v>
      </c>
      <c r="E9">
        <v>8</v>
      </c>
      <c r="F9" s="1" t="str">
        <f t="shared" ca="1" si="2"/>
        <v>0F</v>
      </c>
      <c r="G9" t="str">
        <f t="shared" ca="1" si="3"/>
        <v>00001111</v>
      </c>
      <c r="I9" s="3" t="str">
        <f t="shared" ca="1" si="4"/>
        <v>0</v>
      </c>
      <c r="J9" s="3" t="str">
        <f t="shared" ca="1" si="5"/>
        <v>0</v>
      </c>
      <c r="K9" s="3" t="str">
        <f t="shared" ca="1" si="6"/>
        <v>0</v>
      </c>
      <c r="L9" s="3" t="str">
        <f t="shared" ca="1" si="7"/>
        <v>0</v>
      </c>
      <c r="M9" s="3" t="str">
        <f t="shared" ca="1" si="8"/>
        <v>1</v>
      </c>
      <c r="N9" s="3" t="str">
        <f t="shared" ca="1" si="9"/>
        <v>1</v>
      </c>
      <c r="O9" s="3" t="str">
        <f t="shared" ca="1" si="10"/>
        <v>1</v>
      </c>
      <c r="P9" s="3" t="str">
        <f t="shared" ca="1" si="11"/>
        <v>1</v>
      </c>
      <c r="R9" s="1">
        <v>4</v>
      </c>
      <c r="T9" s="3" t="s">
        <v>10</v>
      </c>
      <c r="U9" s="3" t="s">
        <v>14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14</v>
      </c>
      <c r="AC9" s="1" t="str">
        <f>[1]!Merge(T9:AA9,"")</f>
        <v>01000001</v>
      </c>
      <c r="AD9" s="1" t="str">
        <f t="shared" si="13"/>
        <v>41</v>
      </c>
    </row>
    <row r="10" spans="1:32" x14ac:dyDescent="0.25">
      <c r="A10" s="1">
        <v>8</v>
      </c>
      <c r="B10" s="17" t="s">
        <v>22</v>
      </c>
      <c r="C10" s="17" t="str">
        <f t="shared" si="12"/>
        <v>00000000FFFF1818181800000000006F</v>
      </c>
      <c r="D10" s="1" t="str">
        <f t="shared" si="1"/>
        <v>--</v>
      </c>
      <c r="E10">
        <v>9</v>
      </c>
      <c r="F10" s="1" t="str">
        <f t="shared" ca="1" si="2"/>
        <v>0F</v>
      </c>
      <c r="G10" t="str">
        <f t="shared" ca="1" si="3"/>
        <v>00001111</v>
      </c>
      <c r="I10" s="3" t="str">
        <f t="shared" ca="1" si="4"/>
        <v>0</v>
      </c>
      <c r="J10" s="3" t="str">
        <f t="shared" ca="1" si="5"/>
        <v>0</v>
      </c>
      <c r="K10" s="3" t="str">
        <f t="shared" ca="1" si="6"/>
        <v>0</v>
      </c>
      <c r="L10" s="3" t="str">
        <f t="shared" ca="1" si="7"/>
        <v>0</v>
      </c>
      <c r="M10" s="3" t="str">
        <f t="shared" ca="1" si="8"/>
        <v>1</v>
      </c>
      <c r="N10" s="3" t="str">
        <f t="shared" ca="1" si="9"/>
        <v>1</v>
      </c>
      <c r="O10" s="3" t="str">
        <f t="shared" ca="1" si="10"/>
        <v>1</v>
      </c>
      <c r="P10" s="3" t="str">
        <f t="shared" ca="1" si="11"/>
        <v>1</v>
      </c>
      <c r="R10" s="1">
        <v>5</v>
      </c>
      <c r="T10" s="3" t="s">
        <v>10</v>
      </c>
      <c r="U10" s="3" t="s">
        <v>10</v>
      </c>
      <c r="V10" s="3" t="s">
        <v>14</v>
      </c>
      <c r="W10" s="3" t="s">
        <v>10</v>
      </c>
      <c r="X10" s="3" t="s">
        <v>10</v>
      </c>
      <c r="Y10" s="3" t="s">
        <v>10</v>
      </c>
      <c r="Z10" s="3" t="s">
        <v>14</v>
      </c>
      <c r="AA10" s="3" t="s">
        <v>10</v>
      </c>
      <c r="AC10" s="1" t="str">
        <f>[1]!Merge(T10:AA10,"")</f>
        <v>00100010</v>
      </c>
      <c r="AD10" s="1" t="str">
        <f t="shared" si="13"/>
        <v>22</v>
      </c>
    </row>
    <row r="11" spans="1:32" x14ac:dyDescent="0.25">
      <c r="A11" s="1">
        <v>9</v>
      </c>
      <c r="B11" s="17" t="s">
        <v>23</v>
      </c>
      <c r="C11" s="17" t="str">
        <f t="shared" si="12"/>
        <v>3C3C3C3CFC3C3C3C3C3C000000000064</v>
      </c>
      <c r="D11" s="1" t="str">
        <f t="shared" si="1"/>
        <v>--</v>
      </c>
      <c r="E11">
        <v>10</v>
      </c>
      <c r="F11" s="1" t="str">
        <f t="shared" ca="1" si="2"/>
        <v>0F</v>
      </c>
      <c r="G11" t="str">
        <f t="shared" ca="1" si="3"/>
        <v>00001111</v>
      </c>
      <c r="I11" s="3" t="str">
        <f t="shared" ca="1" si="4"/>
        <v>0</v>
      </c>
      <c r="J11" s="3" t="str">
        <f t="shared" ca="1" si="5"/>
        <v>0</v>
      </c>
      <c r="K11" s="3" t="str">
        <f t="shared" ca="1" si="6"/>
        <v>0</v>
      </c>
      <c r="L11" s="3" t="str">
        <f t="shared" ca="1" si="7"/>
        <v>0</v>
      </c>
      <c r="M11" s="3" t="str">
        <f t="shared" ca="1" si="8"/>
        <v>1</v>
      </c>
      <c r="N11" s="3" t="str">
        <f t="shared" ca="1" si="9"/>
        <v>1</v>
      </c>
      <c r="O11" s="3" t="str">
        <f t="shared" ca="1" si="10"/>
        <v>1</v>
      </c>
      <c r="P11" s="3" t="str">
        <f t="shared" ca="1" si="11"/>
        <v>1</v>
      </c>
      <c r="R11" s="1">
        <v>6</v>
      </c>
      <c r="T11" s="3" t="s">
        <v>10</v>
      </c>
      <c r="U11" s="3" t="s">
        <v>10</v>
      </c>
      <c r="V11" s="3" t="s">
        <v>14</v>
      </c>
      <c r="W11" s="3" t="s">
        <v>10</v>
      </c>
      <c r="X11" s="3" t="s">
        <v>10</v>
      </c>
      <c r="Y11" s="3" t="s">
        <v>10</v>
      </c>
      <c r="Z11" s="3" t="s">
        <v>14</v>
      </c>
      <c r="AA11" s="3" t="s">
        <v>10</v>
      </c>
      <c r="AC11" s="1" t="str">
        <f>[1]!Merge(T11:AA11,"")</f>
        <v>00100010</v>
      </c>
      <c r="AD11" s="1" t="str">
        <f t="shared" si="13"/>
        <v>22</v>
      </c>
    </row>
    <row r="12" spans="1:32" x14ac:dyDescent="0.25">
      <c r="A12" s="1">
        <v>10</v>
      </c>
      <c r="B12" s="17" t="s">
        <v>24</v>
      </c>
      <c r="C12" s="17" t="str">
        <f t="shared" si="12"/>
        <v>18181818FFFF00000000000000000065</v>
      </c>
      <c r="D12" s="1" t="str">
        <f t="shared" si="1"/>
        <v>--</v>
      </c>
      <c r="E12">
        <v>11</v>
      </c>
      <c r="F12" s="1" t="str">
        <f t="shared" ca="1" si="2"/>
        <v>F0</v>
      </c>
      <c r="G12" t="str">
        <f t="shared" ca="1" si="3"/>
        <v>11110000</v>
      </c>
      <c r="I12" s="3" t="str">
        <f t="shared" ca="1" si="4"/>
        <v>1</v>
      </c>
      <c r="J12" s="3" t="str">
        <f t="shared" ca="1" si="5"/>
        <v>1</v>
      </c>
      <c r="K12" s="3" t="str">
        <f t="shared" ca="1" si="6"/>
        <v>1</v>
      </c>
      <c r="L12" s="3" t="str">
        <f t="shared" ca="1" si="7"/>
        <v>1</v>
      </c>
      <c r="M12" s="3" t="str">
        <f t="shared" ca="1" si="8"/>
        <v>0</v>
      </c>
      <c r="N12" s="3" t="str">
        <f t="shared" ca="1" si="9"/>
        <v>0</v>
      </c>
      <c r="O12" s="3" t="str">
        <f t="shared" ca="1" si="10"/>
        <v>0</v>
      </c>
      <c r="P12" s="3" t="str">
        <f t="shared" ca="1" si="11"/>
        <v>0</v>
      </c>
      <c r="R12" s="1">
        <v>7</v>
      </c>
      <c r="T12" s="3" t="s">
        <v>10</v>
      </c>
      <c r="U12" s="3" t="s">
        <v>10</v>
      </c>
      <c r="V12" s="3" t="s">
        <v>10</v>
      </c>
      <c r="W12" s="3" t="s">
        <v>14</v>
      </c>
      <c r="X12" s="3">
        <v>0</v>
      </c>
      <c r="Y12" s="3" t="s">
        <v>14</v>
      </c>
      <c r="Z12" s="3" t="s">
        <v>10</v>
      </c>
      <c r="AA12" s="3" t="s">
        <v>10</v>
      </c>
      <c r="AC12" s="1" t="str">
        <f>[1]!Merge(T12:AA12,"")</f>
        <v>00010100</v>
      </c>
      <c r="AD12" s="1" t="str">
        <f t="shared" si="13"/>
        <v>14</v>
      </c>
    </row>
    <row r="13" spans="1:32" x14ac:dyDescent="0.25">
      <c r="A13" s="1">
        <v>11</v>
      </c>
      <c r="B13" s="17" t="s">
        <v>25</v>
      </c>
      <c r="C13" s="17" t="str">
        <f t="shared" si="12"/>
        <v>3C3C3C3C3F3C3C3C3C3C00000000006C</v>
      </c>
      <c r="D13" s="1" t="str">
        <f t="shared" si="1"/>
        <v>--</v>
      </c>
      <c r="E13">
        <v>12</v>
      </c>
      <c r="F13" s="1" t="str">
        <f t="shared" ca="1" si="2"/>
        <v>F0</v>
      </c>
      <c r="G13" t="str">
        <f t="shared" ca="1" si="3"/>
        <v>11110000</v>
      </c>
      <c r="I13" s="3" t="str">
        <f t="shared" ca="1" si="4"/>
        <v>1</v>
      </c>
      <c r="J13" s="3" t="str">
        <f t="shared" ca="1" si="5"/>
        <v>1</v>
      </c>
      <c r="K13" s="3" t="str">
        <f t="shared" ca="1" si="6"/>
        <v>1</v>
      </c>
      <c r="L13" s="3" t="str">
        <f t="shared" ca="1" si="7"/>
        <v>1</v>
      </c>
      <c r="M13" s="3" t="str">
        <f t="shared" ca="1" si="8"/>
        <v>0</v>
      </c>
      <c r="N13" s="3" t="str">
        <f t="shared" ca="1" si="9"/>
        <v>0</v>
      </c>
      <c r="O13" s="3" t="str">
        <f t="shared" ca="1" si="10"/>
        <v>0</v>
      </c>
      <c r="P13" s="3" t="str">
        <f t="shared" ca="1" si="11"/>
        <v>0</v>
      </c>
      <c r="R13" s="1">
        <v>8</v>
      </c>
      <c r="T13" s="3" t="s">
        <v>10</v>
      </c>
      <c r="U13" s="3" t="s">
        <v>10</v>
      </c>
      <c r="V13" s="3" t="s">
        <v>10</v>
      </c>
      <c r="W13" s="3">
        <v>0</v>
      </c>
      <c r="X13" s="3" t="s">
        <v>14</v>
      </c>
      <c r="Y13" s="3">
        <v>0</v>
      </c>
      <c r="Z13" s="3" t="s">
        <v>10</v>
      </c>
      <c r="AA13" s="3" t="s">
        <v>10</v>
      </c>
      <c r="AC13" s="1" t="str">
        <f>[1]!Merge(T13:AA13,"")</f>
        <v>00001000</v>
      </c>
      <c r="AD13" s="1" t="str">
        <f t="shared" si="13"/>
        <v>08</v>
      </c>
    </row>
    <row r="14" spans="1:32" x14ac:dyDescent="0.25">
      <c r="A14" s="1">
        <v>12</v>
      </c>
      <c r="B14" s="17" t="s">
        <v>1</v>
      </c>
      <c r="C14" s="17" t="str">
        <f t="shared" si="12"/>
        <v>3C3C3C3CFFFF3C3C3C3C000000000000</v>
      </c>
      <c r="D14" s="1" t="str">
        <f t="shared" si="1"/>
        <v>--</v>
      </c>
      <c r="E14">
        <v>13</v>
      </c>
      <c r="F14" s="1" t="str">
        <f t="shared" ca="1" si="2"/>
        <v>F0</v>
      </c>
      <c r="G14" t="str">
        <f t="shared" ca="1" si="3"/>
        <v>11110000</v>
      </c>
      <c r="I14" s="3" t="str">
        <f t="shared" ca="1" si="4"/>
        <v>1</v>
      </c>
      <c r="J14" s="3" t="str">
        <f t="shared" ca="1" si="5"/>
        <v>1</v>
      </c>
      <c r="K14" s="3" t="str">
        <f t="shared" ca="1" si="6"/>
        <v>1</v>
      </c>
      <c r="L14" s="3" t="str">
        <f t="shared" ca="1" si="7"/>
        <v>1</v>
      </c>
      <c r="M14" s="3" t="str">
        <f t="shared" ca="1" si="8"/>
        <v>0</v>
      </c>
      <c r="N14" s="3" t="str">
        <f t="shared" ca="1" si="9"/>
        <v>0</v>
      </c>
      <c r="O14" s="3" t="str">
        <f t="shared" ca="1" si="10"/>
        <v>0</v>
      </c>
      <c r="P14" s="3" t="str">
        <f t="shared" ca="1" si="11"/>
        <v>0</v>
      </c>
      <c r="R14" s="1">
        <v>9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C14" s="1" t="str">
        <f>[1]!Merge(T14:AA14,"")</f>
        <v>00000000</v>
      </c>
      <c r="AD14" s="1" t="str">
        <f t="shared" si="13"/>
        <v>00</v>
      </c>
    </row>
    <row r="15" spans="1:32" x14ac:dyDescent="0.25">
      <c r="A15" s="1">
        <v>13</v>
      </c>
      <c r="B15" s="17" t="s">
        <v>26</v>
      </c>
      <c r="C15" s="17" t="str">
        <f t="shared" si="12"/>
        <v>3C3C3C3CFF3C3C3C3C3C000000000049</v>
      </c>
      <c r="D15" s="1" t="str">
        <f t="shared" si="1"/>
        <v>--</v>
      </c>
      <c r="E15">
        <v>14</v>
      </c>
      <c r="F15" s="1" t="str">
        <f t="shared" ca="1" si="2"/>
        <v>F0</v>
      </c>
      <c r="G15" t="str">
        <f t="shared" ca="1" si="3"/>
        <v>11110000</v>
      </c>
      <c r="I15" s="3" t="str">
        <f t="shared" ca="1" si="4"/>
        <v>1</v>
      </c>
      <c r="J15" s="3" t="str">
        <f t="shared" ca="1" si="5"/>
        <v>1</v>
      </c>
      <c r="K15" s="3" t="str">
        <f t="shared" ca="1" si="6"/>
        <v>1</v>
      </c>
      <c r="L15" s="3" t="str">
        <f t="shared" ca="1" si="7"/>
        <v>1</v>
      </c>
      <c r="M15" s="3" t="str">
        <f t="shared" ca="1" si="8"/>
        <v>0</v>
      </c>
      <c r="N15" s="3" t="str">
        <f t="shared" ca="1" si="9"/>
        <v>0</v>
      </c>
      <c r="O15" s="3" t="str">
        <f t="shared" ca="1" si="10"/>
        <v>0</v>
      </c>
      <c r="P15" s="3" t="str">
        <f t="shared" ca="1" si="11"/>
        <v>0</v>
      </c>
      <c r="R15" s="1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C15" s="1" t="str">
        <f>[1]!Merge(T15:AA15,"")</f>
        <v>00000000</v>
      </c>
      <c r="AD15" s="1" t="str">
        <f t="shared" si="13"/>
        <v>00</v>
      </c>
    </row>
    <row r="16" spans="1:32" x14ac:dyDescent="0.25">
      <c r="A16" s="1">
        <v>14</v>
      </c>
      <c r="B16" s="17" t="s">
        <v>27</v>
      </c>
      <c r="C16" s="17" t="str">
        <f t="shared" si="12"/>
        <v>18181818FFFF18181818000000000049</v>
      </c>
      <c r="D16" s="1" t="str">
        <f t="shared" si="1"/>
        <v>--</v>
      </c>
      <c r="E16">
        <v>15</v>
      </c>
      <c r="F16" s="1" t="str">
        <f t="shared" ca="1" si="2"/>
        <v>00</v>
      </c>
      <c r="G16" t="str">
        <f t="shared" ca="1" si="3"/>
        <v>00000000</v>
      </c>
      <c r="I16" s="2" t="str">
        <f t="shared" ca="1" si="4"/>
        <v>0</v>
      </c>
      <c r="J16" s="2" t="str">
        <f t="shared" ca="1" si="5"/>
        <v>0</v>
      </c>
      <c r="K16" s="2" t="str">
        <f t="shared" ca="1" si="6"/>
        <v>0</v>
      </c>
      <c r="L16" s="2" t="str">
        <f t="shared" ca="1" si="7"/>
        <v>0</v>
      </c>
      <c r="M16" s="2" t="str">
        <f t="shared" ca="1" si="8"/>
        <v>0</v>
      </c>
      <c r="N16" s="2" t="str">
        <f t="shared" ca="1" si="9"/>
        <v>0</v>
      </c>
      <c r="O16" s="2" t="str">
        <f t="shared" ca="1" si="10"/>
        <v>0</v>
      </c>
      <c r="P16" s="2" t="str">
        <f t="shared" ca="1" si="11"/>
        <v>0</v>
      </c>
      <c r="R16" s="1" t="str">
        <f t="shared" ref="R16:R20" ca="1" si="14">IFERROR(CHAR(HEX2DEC(F16)),"")</f>
        <v/>
      </c>
      <c r="T16"/>
      <c r="U16"/>
      <c r="V16"/>
      <c r="W16"/>
      <c r="X16"/>
    </row>
    <row r="17" spans="1:32" x14ac:dyDescent="0.25">
      <c r="A17" s="1">
        <v>15</v>
      </c>
      <c r="B17" s="17" t="s">
        <v>2</v>
      </c>
      <c r="C17" s="17" t="str">
        <f t="shared" si="12"/>
        <v>18181818FF1818181818000000000000</v>
      </c>
      <c r="D17" s="1" t="str">
        <f t="shared" si="1"/>
        <v>--</v>
      </c>
      <c r="E17">
        <v>16</v>
      </c>
      <c r="F17" s="1" t="str">
        <f t="shared" ca="1" si="2"/>
        <v>00</v>
      </c>
      <c r="G17" t="str">
        <f t="shared" ca="1" si="3"/>
        <v>00000000</v>
      </c>
      <c r="I17" s="2" t="str">
        <f t="shared" ca="1" si="4"/>
        <v>0</v>
      </c>
      <c r="J17" s="2" t="str">
        <f t="shared" ca="1" si="5"/>
        <v>0</v>
      </c>
      <c r="K17" s="2" t="str">
        <f t="shared" ca="1" si="6"/>
        <v>0</v>
      </c>
      <c r="L17" s="2" t="str">
        <f t="shared" ca="1" si="7"/>
        <v>0</v>
      </c>
      <c r="M17" s="2" t="str">
        <f t="shared" ca="1" si="8"/>
        <v>0</v>
      </c>
      <c r="N17" s="2" t="str">
        <f t="shared" ca="1" si="9"/>
        <v>0</v>
      </c>
      <c r="O17" s="2" t="str">
        <f t="shared" ca="1" si="10"/>
        <v>0</v>
      </c>
      <c r="P17" s="2" t="str">
        <f t="shared" ca="1" si="11"/>
        <v>0</v>
      </c>
      <c r="R17" s="1" t="str">
        <f t="shared" ca="1" si="14"/>
        <v/>
      </c>
      <c r="V17" s="4"/>
    </row>
    <row r="18" spans="1:32" x14ac:dyDescent="0.25">
      <c r="A18" s="1">
        <v>16</v>
      </c>
      <c r="B18" s="17" t="s">
        <v>28</v>
      </c>
      <c r="C18" s="17" t="str">
        <f t="shared" si="12"/>
        <v>00000000000000003C3C000000000043</v>
      </c>
      <c r="D18" s="1" t="str">
        <f t="shared" si="1"/>
        <v>--</v>
      </c>
      <c r="E18">
        <v>17</v>
      </c>
      <c r="F18" s="1" t="str">
        <f t="shared" ca="1" si="2"/>
        <v>00</v>
      </c>
      <c r="G18" t="str">
        <f t="shared" ca="1" si="3"/>
        <v>00000000</v>
      </c>
      <c r="I18" s="2" t="str">
        <f t="shared" ca="1" si="4"/>
        <v>0</v>
      </c>
      <c r="J18" s="2" t="str">
        <f t="shared" ca="1" si="5"/>
        <v>0</v>
      </c>
      <c r="K18" s="2" t="str">
        <f t="shared" ca="1" si="6"/>
        <v>0</v>
      </c>
      <c r="L18" s="2" t="str">
        <f t="shared" ca="1" si="7"/>
        <v>0</v>
      </c>
      <c r="M18" s="2" t="str">
        <f t="shared" ca="1" si="8"/>
        <v>0</v>
      </c>
      <c r="N18" s="2" t="str">
        <f t="shared" ca="1" si="9"/>
        <v>0</v>
      </c>
      <c r="O18" s="2" t="str">
        <f t="shared" ca="1" si="10"/>
        <v>0</v>
      </c>
      <c r="P18" s="2" t="str">
        <f t="shared" ca="1" si="11"/>
        <v>0</v>
      </c>
      <c r="R18" s="1" t="str">
        <f t="shared" ca="1" si="14"/>
        <v/>
      </c>
      <c r="T18" s="3" t="s">
        <v>10</v>
      </c>
      <c r="U18" s="3" t="s">
        <v>10</v>
      </c>
      <c r="V18" s="3" t="s">
        <v>10</v>
      </c>
      <c r="W18" s="3" t="s">
        <v>10</v>
      </c>
      <c r="X18" s="3" t="s">
        <v>10</v>
      </c>
      <c r="Y18" s="3" t="s">
        <v>10</v>
      </c>
      <c r="Z18" s="3" t="s">
        <v>10</v>
      </c>
      <c r="AA18" s="3" t="s">
        <v>10</v>
      </c>
      <c r="AC18" s="1" t="str">
        <f>[1]!Merge(T18:AA18,"")</f>
        <v>00000000</v>
      </c>
      <c r="AD18" s="1" t="str">
        <f>IF(AC18="","..",BIN2HEX(AC18,2))</f>
        <v>00</v>
      </c>
      <c r="AF18" t="str">
        <f>[1]!Merge(AD18:AD27,"")</f>
        <v>00414141414955220000</v>
      </c>
    </row>
    <row r="19" spans="1:32" x14ac:dyDescent="0.25">
      <c r="A19" s="1">
        <v>17</v>
      </c>
      <c r="B19" s="17" t="s">
        <v>29</v>
      </c>
      <c r="C19" s="17" t="str">
        <f t="shared" si="12"/>
        <v>0000000000003C3C3C3C000000000068</v>
      </c>
      <c r="D19" s="1" t="str">
        <f t="shared" si="1"/>
        <v>--</v>
      </c>
      <c r="E19">
        <v>18</v>
      </c>
      <c r="F19" s="1" t="str">
        <f t="shared" ca="1" si="2"/>
        <v>00</v>
      </c>
      <c r="G19" t="str">
        <f t="shared" ca="1" si="3"/>
        <v>00000000</v>
      </c>
      <c r="I19" s="2" t="str">
        <f t="shared" ca="1" si="4"/>
        <v>0</v>
      </c>
      <c r="J19" s="2" t="str">
        <f t="shared" ca="1" si="5"/>
        <v>0</v>
      </c>
      <c r="K19" s="2" t="str">
        <f t="shared" ca="1" si="6"/>
        <v>0</v>
      </c>
      <c r="L19" s="2" t="str">
        <f t="shared" ca="1" si="7"/>
        <v>0</v>
      </c>
      <c r="M19" s="2" t="str">
        <f t="shared" ca="1" si="8"/>
        <v>0</v>
      </c>
      <c r="N19" s="2" t="str">
        <f t="shared" ca="1" si="9"/>
        <v>0</v>
      </c>
      <c r="O19" s="2" t="str">
        <f t="shared" ca="1" si="10"/>
        <v>0</v>
      </c>
      <c r="P19" s="2" t="str">
        <f t="shared" ca="1" si="11"/>
        <v>0</v>
      </c>
      <c r="R19" s="1" t="str">
        <f t="shared" ca="1" si="14"/>
        <v/>
      </c>
      <c r="T19" s="3" t="s">
        <v>10</v>
      </c>
      <c r="U19" s="3" t="s">
        <v>14</v>
      </c>
      <c r="V19" s="3" t="s">
        <v>10</v>
      </c>
      <c r="W19" s="3" t="s">
        <v>10</v>
      </c>
      <c r="X19" s="3" t="s">
        <v>10</v>
      </c>
      <c r="Y19" s="3" t="s">
        <v>10</v>
      </c>
      <c r="Z19" s="3" t="s">
        <v>10</v>
      </c>
      <c r="AA19" s="3" t="s">
        <v>14</v>
      </c>
      <c r="AC19" s="1" t="str">
        <f>[1]!Merge(T19:AA19,"")</f>
        <v>01000001</v>
      </c>
      <c r="AD19" s="1" t="str">
        <f>IF(AC19="","..",BIN2HEX(AC19,2))</f>
        <v>41</v>
      </c>
    </row>
    <row r="20" spans="1:32" x14ac:dyDescent="0.25">
      <c r="A20" s="1">
        <v>18</v>
      </c>
      <c r="B20" s="17" t="s">
        <v>30</v>
      </c>
      <c r="C20" s="17" t="str">
        <f t="shared" si="12"/>
        <v>000000003C3C3C3C3C3C000000000061</v>
      </c>
      <c r="D20" s="1" t="str">
        <f t="shared" si="1"/>
        <v>--</v>
      </c>
      <c r="E20">
        <v>19</v>
      </c>
      <c r="F20" s="1" t="str">
        <f t="shared" ca="1" si="2"/>
        <v>00</v>
      </c>
      <c r="G20" t="str">
        <f t="shared" ca="1" si="3"/>
        <v>00000000</v>
      </c>
      <c r="I20" s="2" t="str">
        <f t="shared" ca="1" si="4"/>
        <v>0</v>
      </c>
      <c r="J20" s="2" t="str">
        <f t="shared" ca="1" si="5"/>
        <v>0</v>
      </c>
      <c r="K20" s="2" t="str">
        <f t="shared" ca="1" si="6"/>
        <v>0</v>
      </c>
      <c r="L20" s="2" t="str">
        <f t="shared" ca="1" si="7"/>
        <v>0</v>
      </c>
      <c r="M20" s="2" t="str">
        <f t="shared" ca="1" si="8"/>
        <v>0</v>
      </c>
      <c r="N20" s="2" t="str">
        <f t="shared" ca="1" si="9"/>
        <v>0</v>
      </c>
      <c r="O20" s="2" t="str">
        <f t="shared" ca="1" si="10"/>
        <v>0</v>
      </c>
      <c r="P20" s="2" t="str">
        <f t="shared" ca="1" si="11"/>
        <v>0</v>
      </c>
      <c r="R20" s="1" t="str">
        <f t="shared" ca="1" si="14"/>
        <v/>
      </c>
      <c r="T20" s="3" t="s">
        <v>10</v>
      </c>
      <c r="U20" s="3" t="s">
        <v>14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14</v>
      </c>
      <c r="AC20" s="1" t="str">
        <f>[1]!Merge(T20:AA20,"")</f>
        <v>01000001</v>
      </c>
      <c r="AD20" s="1" t="str">
        <f t="shared" ref="AD20:AD27" si="15">IF(AC20="","..",BIN2HEX(AC20,2))</f>
        <v>41</v>
      </c>
    </row>
    <row r="21" spans="1:32" x14ac:dyDescent="0.25">
      <c r="A21" s="1">
        <v>19</v>
      </c>
      <c r="B21" s="17" t="s">
        <v>31</v>
      </c>
      <c r="C21" s="17" t="str">
        <f t="shared" si="12"/>
        <v>00003C3C3C3C3C3C3C3C000000000072</v>
      </c>
      <c r="D21" s="1" t="str">
        <f t="shared" si="1"/>
        <v>--</v>
      </c>
      <c r="E21">
        <v>20</v>
      </c>
      <c r="F21" s="1" t="str">
        <f t="shared" ca="1" si="2"/>
        <v>00</v>
      </c>
      <c r="G21" t="str">
        <f t="shared" ca="1" si="3"/>
        <v>00000000</v>
      </c>
      <c r="I21" s="2" t="str">
        <f t="shared" ca="1" si="4"/>
        <v>0</v>
      </c>
      <c r="J21" s="2" t="str">
        <f t="shared" ca="1" si="5"/>
        <v>0</v>
      </c>
      <c r="K21" s="2" t="str">
        <f t="shared" ca="1" si="6"/>
        <v>0</v>
      </c>
      <c r="L21" s="2" t="str">
        <f t="shared" ca="1" si="7"/>
        <v>0</v>
      </c>
      <c r="M21" s="2" t="str">
        <f t="shared" ca="1" si="8"/>
        <v>0</v>
      </c>
      <c r="N21" s="2" t="str">
        <f t="shared" ca="1" si="9"/>
        <v>0</v>
      </c>
      <c r="O21" s="2" t="str">
        <f t="shared" ca="1" si="10"/>
        <v>0</v>
      </c>
      <c r="P21" s="2" t="str">
        <f t="shared" ca="1" si="11"/>
        <v>0</v>
      </c>
      <c r="R21" s="1" t="str">
        <f ca="1">IFERROR(CHAR(HEX2DEC(F21)),"")</f>
        <v/>
      </c>
      <c r="T21" s="3" t="s">
        <v>10</v>
      </c>
      <c r="U21" s="3" t="s">
        <v>14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14</v>
      </c>
      <c r="AC21" s="1" t="str">
        <f>[1]!Merge(T21:AA21,"")</f>
        <v>01000001</v>
      </c>
      <c r="AD21" s="1" t="str">
        <f t="shared" si="15"/>
        <v>41</v>
      </c>
    </row>
    <row r="22" spans="1:32" x14ac:dyDescent="0.25">
      <c r="A22" s="1">
        <v>20</v>
      </c>
      <c r="B22" s="17" t="s">
        <v>32</v>
      </c>
      <c r="C22" s="17" t="str">
        <f t="shared" si="12"/>
        <v>3C3C3C3C3C3C3C3C3C3C000000000052</v>
      </c>
      <c r="D22" s="1" t="str">
        <f t="shared" si="1"/>
        <v>--</v>
      </c>
      <c r="E22">
        <v>21</v>
      </c>
      <c r="F22" s="1" t="str">
        <f t="shared" ca="1" si="2"/>
        <v>89</v>
      </c>
      <c r="G22" t="str">
        <f t="shared" ca="1" si="3"/>
        <v>10001001</v>
      </c>
      <c r="I22" s="2" t="str">
        <f t="shared" ca="1" si="4"/>
        <v>1</v>
      </c>
      <c r="J22" s="2" t="str">
        <f t="shared" ca="1" si="5"/>
        <v>0</v>
      </c>
      <c r="K22" s="2" t="str">
        <f t="shared" ca="1" si="6"/>
        <v>0</v>
      </c>
      <c r="L22" s="2" t="str">
        <f t="shared" ca="1" si="7"/>
        <v>0</v>
      </c>
      <c r="M22" s="2" t="str">
        <f t="shared" ca="1" si="8"/>
        <v>1</v>
      </c>
      <c r="N22" s="2" t="str">
        <f t="shared" ca="1" si="9"/>
        <v>0</v>
      </c>
      <c r="O22" s="2" t="str">
        <f t="shared" ca="1" si="10"/>
        <v>0</v>
      </c>
      <c r="P22" s="2" t="str">
        <f t="shared" ca="1" si="11"/>
        <v>1</v>
      </c>
      <c r="T22" s="3" t="s">
        <v>10</v>
      </c>
      <c r="U22" s="3" t="s">
        <v>14</v>
      </c>
      <c r="V22" s="3" t="s">
        <v>10</v>
      </c>
      <c r="W22" s="3" t="s">
        <v>10</v>
      </c>
      <c r="X22" s="3">
        <v>0</v>
      </c>
      <c r="Y22" s="3">
        <v>0</v>
      </c>
      <c r="Z22" s="3" t="s">
        <v>10</v>
      </c>
      <c r="AA22" s="3" t="s">
        <v>14</v>
      </c>
      <c r="AC22" s="1" t="str">
        <f>[1]!Merge(T22:AA22,"")</f>
        <v>01000001</v>
      </c>
      <c r="AD22" s="1" t="str">
        <f t="shared" si="15"/>
        <v>41</v>
      </c>
    </row>
    <row r="23" spans="1:32" x14ac:dyDescent="0.25">
      <c r="A23" s="1">
        <v>21</v>
      </c>
      <c r="B23" s="17" t="s">
        <v>33</v>
      </c>
      <c r="C23" s="17" t="str">
        <f t="shared" si="12"/>
        <v>1818181818181818181800000000004F</v>
      </c>
      <c r="D23" s="1" t="str">
        <f t="shared" si="1"/>
        <v>--</v>
      </c>
      <c r="T23" s="3" t="s">
        <v>10</v>
      </c>
      <c r="U23" s="3" t="s">
        <v>14</v>
      </c>
      <c r="V23" s="3" t="s">
        <v>10</v>
      </c>
      <c r="W23" s="3" t="s">
        <v>10</v>
      </c>
      <c r="X23" s="3">
        <v>1</v>
      </c>
      <c r="Y23" s="3">
        <v>0</v>
      </c>
      <c r="Z23" s="3" t="s">
        <v>10</v>
      </c>
      <c r="AA23" s="3" t="s">
        <v>14</v>
      </c>
      <c r="AC23" s="1" t="str">
        <f>[1]!Merge(T23:AA23,"")</f>
        <v>01001001</v>
      </c>
      <c r="AD23" s="1" t="str">
        <f t="shared" si="15"/>
        <v>49</v>
      </c>
    </row>
    <row r="24" spans="1:32" x14ac:dyDescent="0.25">
      <c r="A24" s="1">
        <v>22</v>
      </c>
      <c r="B24" s="17" t="s">
        <v>34</v>
      </c>
      <c r="C24" s="17" t="str">
        <f t="shared" si="12"/>
        <v>00000000FFFF0000000000000000004D</v>
      </c>
      <c r="D24" s="1" t="str">
        <f t="shared" si="1"/>
        <v>--</v>
      </c>
      <c r="T24" s="3" t="s">
        <v>10</v>
      </c>
      <c r="U24" s="3" t="s">
        <v>14</v>
      </c>
      <c r="V24" s="3" t="s">
        <v>10</v>
      </c>
      <c r="W24" s="3" t="s">
        <v>14</v>
      </c>
      <c r="X24" s="3" t="s">
        <v>10</v>
      </c>
      <c r="Y24" s="3">
        <v>1</v>
      </c>
      <c r="Z24" s="3">
        <v>0</v>
      </c>
      <c r="AA24" s="3" t="s">
        <v>14</v>
      </c>
      <c r="AC24" s="1" t="str">
        <f>[1]!Merge(T24:AA24,"")</f>
        <v>01010101</v>
      </c>
      <c r="AD24" s="1" t="str">
        <f t="shared" si="15"/>
        <v>55</v>
      </c>
    </row>
    <row r="25" spans="1:32" x14ac:dyDescent="0.25">
      <c r="A25" s="1">
        <v>23</v>
      </c>
      <c r="B25" s="17" t="s">
        <v>3</v>
      </c>
      <c r="C25" s="17" t="str">
        <f t="shared" si="12"/>
        <v>00000000FF0000000000000000000000</v>
      </c>
      <c r="D25" s="1" t="str">
        <f t="shared" si="1"/>
        <v>--</v>
      </c>
      <c r="T25" s="3" t="s">
        <v>10</v>
      </c>
      <c r="U25" s="3" t="s">
        <v>10</v>
      </c>
      <c r="V25" s="3" t="s">
        <v>14</v>
      </c>
      <c r="W25" s="3" t="s">
        <v>10</v>
      </c>
      <c r="X25" s="3" t="s">
        <v>10</v>
      </c>
      <c r="Y25" s="3" t="s">
        <v>10</v>
      </c>
      <c r="Z25" s="3">
        <v>1</v>
      </c>
      <c r="AA25" s="3">
        <v>0</v>
      </c>
      <c r="AC25" s="1" t="str">
        <f>[1]!Merge(T25:AA25,"")</f>
        <v>00100010</v>
      </c>
      <c r="AD25" s="1" t="str">
        <f t="shared" si="15"/>
        <v>22</v>
      </c>
    </row>
    <row r="26" spans="1:32" x14ac:dyDescent="0.25">
      <c r="A26" s="1">
        <v>24</v>
      </c>
      <c r="B26" s="17" t="s">
        <v>35</v>
      </c>
      <c r="C26" s="17" t="str">
        <f t="shared" si="12"/>
        <v>0000000000000000FFFF000000000032</v>
      </c>
      <c r="D26" s="1" t="str">
        <f t="shared" si="1"/>
        <v>--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C26" s="1" t="str">
        <f>[1]!Merge(T26:AA26,"")</f>
        <v>00000000</v>
      </c>
      <c r="AD26" s="1" t="str">
        <f t="shared" si="15"/>
        <v>00</v>
      </c>
    </row>
    <row r="27" spans="1:32" x14ac:dyDescent="0.25">
      <c r="A27" s="1">
        <v>25</v>
      </c>
      <c r="B27" s="17" t="s">
        <v>36</v>
      </c>
      <c r="C27" s="17" t="str">
        <f t="shared" si="12"/>
        <v>000000000000FFFFFFFF000000000035</v>
      </c>
      <c r="D27" s="1" t="str">
        <f t="shared" si="1"/>
        <v>--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C27" s="1" t="str">
        <f>[1]!Merge(T27:AA27,"")</f>
        <v>00000000</v>
      </c>
      <c r="AD27" s="1" t="str">
        <f t="shared" si="15"/>
        <v>00</v>
      </c>
    </row>
    <row r="28" spans="1:32" x14ac:dyDescent="0.25">
      <c r="A28" s="1">
        <v>26</v>
      </c>
      <c r="B28" s="17" t="s">
        <v>37</v>
      </c>
      <c r="C28" s="17" t="str">
        <f t="shared" si="12"/>
        <v>00000000FFFFFFFFFFFF000000000036</v>
      </c>
      <c r="D28" s="1" t="str">
        <f t="shared" si="1"/>
        <v>--</v>
      </c>
      <c r="G28" t="str">
        <f ca="1">OFFSET(B2,H1,0)</f>
        <v>:100A70000000000F0F0FF0F0F0F000000000000089</v>
      </c>
    </row>
    <row r="29" spans="1:32" x14ac:dyDescent="0.25">
      <c r="A29" s="1">
        <v>27</v>
      </c>
      <c r="B29" s="17" t="s">
        <v>4</v>
      </c>
      <c r="C29" s="17" t="str">
        <f t="shared" si="12"/>
        <v>0000FFFFFFFFFFFFFFFF000000000000</v>
      </c>
      <c r="D29" s="1" t="str">
        <f t="shared" si="1"/>
        <v>--</v>
      </c>
    </row>
    <row r="30" spans="1:32" x14ac:dyDescent="0.25">
      <c r="A30" s="1">
        <v>28</v>
      </c>
      <c r="B30" s="17" t="s">
        <v>38</v>
      </c>
      <c r="C30" s="17" t="str">
        <f t="shared" si="12"/>
        <v>C0C0C0C0C0C0C0C0C0C0000000000063</v>
      </c>
      <c r="D30" s="1" t="str">
        <f t="shared" si="1"/>
        <v>--</v>
      </c>
      <c r="F30" s="5" t="s">
        <v>266</v>
      </c>
    </row>
    <row r="31" spans="1:32" x14ac:dyDescent="0.25">
      <c r="A31" s="1">
        <v>29</v>
      </c>
      <c r="B31" s="17" t="s">
        <v>39</v>
      </c>
      <c r="C31" s="17" t="str">
        <f t="shared" si="12"/>
        <v>F0F0F0F0F0F0F0F0F0F0000000000068</v>
      </c>
      <c r="D31" s="1" t="str">
        <f t="shared" si="1"/>
        <v>--</v>
      </c>
      <c r="F31" s="5" t="s">
        <v>267</v>
      </c>
    </row>
    <row r="32" spans="1:32" ht="15.75" thickBot="1" x14ac:dyDescent="0.3">
      <c r="A32" s="1">
        <v>30</v>
      </c>
      <c r="B32" s="17" t="s">
        <v>40</v>
      </c>
      <c r="C32" s="17" t="str">
        <f t="shared" si="12"/>
        <v>FCFCFCFCFCFCFCFCFCFC000000000061</v>
      </c>
      <c r="D32" s="1" t="str">
        <f t="shared" si="1"/>
        <v>--</v>
      </c>
    </row>
    <row r="33" spans="1:32" x14ac:dyDescent="0.25">
      <c r="A33" s="1">
        <v>31</v>
      </c>
      <c r="B33" s="17" t="s">
        <v>41</v>
      </c>
      <c r="C33" s="17" t="str">
        <f t="shared" si="12"/>
        <v>00081C2A080808080000000000000072</v>
      </c>
      <c r="D33" s="1" t="str">
        <f t="shared" si="1"/>
        <v>--</v>
      </c>
      <c r="E33" s="6">
        <v>8043316</v>
      </c>
      <c r="F33" s="7"/>
      <c r="G33" s="8"/>
      <c r="T33" s="3">
        <v>1</v>
      </c>
      <c r="U33" s="3">
        <v>1</v>
      </c>
      <c r="V33" s="3">
        <v>1</v>
      </c>
      <c r="W33" s="3">
        <v>1</v>
      </c>
      <c r="X33" s="3" t="s">
        <v>10</v>
      </c>
      <c r="Y33" s="3" t="s">
        <v>10</v>
      </c>
      <c r="Z33" s="3" t="s">
        <v>10</v>
      </c>
      <c r="AA33" s="3">
        <v>0</v>
      </c>
      <c r="AC33" s="1" t="str">
        <f>[1]!Merge(T33:AA33,"")</f>
        <v>11110000</v>
      </c>
      <c r="AD33" s="1" t="str">
        <f>IF(AC33="","..",BIN2HEX(AC33,2))</f>
        <v>F0</v>
      </c>
      <c r="AF33" t="str">
        <f>[1]!Merge(AD33:AD42,"")</f>
        <v>F0F0F00F0F0FFFFFFFFF</v>
      </c>
    </row>
    <row r="34" spans="1:32" x14ac:dyDescent="0.25">
      <c r="A34" s="1">
        <v>32</v>
      </c>
      <c r="B34" s="17" t="s">
        <v>42</v>
      </c>
      <c r="C34" s="17" t="str">
        <f t="shared" si="12"/>
        <v>00000000000000000000000000000020</v>
      </c>
      <c r="D34" s="1" t="str">
        <f t="shared" si="1"/>
        <v>--</v>
      </c>
      <c r="E34" s="9" t="s">
        <v>7</v>
      </c>
      <c r="F34" s="10"/>
      <c r="G34" s="11"/>
      <c r="T34" s="3">
        <v>1</v>
      </c>
      <c r="U34" s="3">
        <v>1</v>
      </c>
      <c r="V34" s="3">
        <v>1</v>
      </c>
      <c r="W34" s="3">
        <v>1</v>
      </c>
      <c r="X34" s="3">
        <v>0</v>
      </c>
      <c r="Y34" s="3" t="s">
        <v>10</v>
      </c>
      <c r="Z34" s="3">
        <v>0</v>
      </c>
      <c r="AA34" s="3" t="s">
        <v>10</v>
      </c>
      <c r="AC34" s="1" t="str">
        <f>[1]!Merge(T34:AA34,"")</f>
        <v>11110000</v>
      </c>
      <c r="AD34" s="1" t="str">
        <f>IF(AC34="","..",BIN2HEX(AC34,2))</f>
        <v>F0</v>
      </c>
    </row>
    <row r="35" spans="1:32" ht="15.75" thickBot="1" x14ac:dyDescent="0.3">
      <c r="A35" s="1">
        <v>33</v>
      </c>
      <c r="B35" s="17" t="s">
        <v>43</v>
      </c>
      <c r="C35" s="17" t="str">
        <f t="shared" si="12"/>
        <v>00080808080800080000000000000021</v>
      </c>
      <c r="D35" s="1" t="str">
        <f t="shared" si="1"/>
        <v>!</v>
      </c>
      <c r="E35" s="12" t="s">
        <v>6</v>
      </c>
      <c r="F35" s="13"/>
      <c r="G35" s="14"/>
      <c r="T35" s="3">
        <v>1</v>
      </c>
      <c r="U35" s="3">
        <v>1</v>
      </c>
      <c r="V35" s="3">
        <v>1</v>
      </c>
      <c r="W35" s="3">
        <v>1</v>
      </c>
      <c r="X35" s="3">
        <v>0</v>
      </c>
      <c r="Y35" s="3">
        <v>0</v>
      </c>
      <c r="Z35" s="3" t="s">
        <v>10</v>
      </c>
      <c r="AA35" s="3" t="s">
        <v>10</v>
      </c>
      <c r="AC35" s="1" t="str">
        <f>[1]!Merge(T35:AA35,"")</f>
        <v>11110000</v>
      </c>
      <c r="AD35" s="1" t="str">
        <f t="shared" ref="AD35:AD42" si="16">IF(AC35="","..",BIN2HEX(AC35,2))</f>
        <v>F0</v>
      </c>
    </row>
    <row r="36" spans="1:32" x14ac:dyDescent="0.25">
      <c r="A36" s="1">
        <v>34</v>
      </c>
      <c r="B36" s="17" t="s">
        <v>44</v>
      </c>
      <c r="C36" s="17" t="str">
        <f t="shared" si="12"/>
        <v>00242424000000000000000000000022</v>
      </c>
      <c r="D36" s="1" t="str">
        <f t="shared" si="1"/>
        <v>"</v>
      </c>
      <c r="T36" s="3">
        <v>0</v>
      </c>
      <c r="U36" s="3">
        <v>0</v>
      </c>
      <c r="V36" s="3" t="s">
        <v>10</v>
      </c>
      <c r="W36" s="3">
        <v>0</v>
      </c>
      <c r="X36" s="3">
        <v>1</v>
      </c>
      <c r="Y36" s="3">
        <v>1</v>
      </c>
      <c r="Z36" s="3">
        <v>1</v>
      </c>
      <c r="AA36" s="3">
        <v>1</v>
      </c>
      <c r="AC36" s="1" t="str">
        <f>[1]!Merge(T36:AA36,"")</f>
        <v>00001111</v>
      </c>
      <c r="AD36" s="1" t="str">
        <f t="shared" si="16"/>
        <v>0F</v>
      </c>
    </row>
    <row r="37" spans="1:32" x14ac:dyDescent="0.25">
      <c r="A37" s="1">
        <v>35</v>
      </c>
      <c r="B37" s="17" t="s">
        <v>45</v>
      </c>
      <c r="C37" s="17" t="str">
        <f t="shared" si="12"/>
        <v>0024247E247E24240000000000000023</v>
      </c>
      <c r="D37" s="1" t="str">
        <f t="shared" si="1"/>
        <v>#</v>
      </c>
      <c r="E37" t="s">
        <v>8</v>
      </c>
      <c r="T37" s="3">
        <v>0</v>
      </c>
      <c r="U37" s="3">
        <v>0</v>
      </c>
      <c r="V37" s="3" t="s">
        <v>10</v>
      </c>
      <c r="W37" s="3">
        <v>0</v>
      </c>
      <c r="X37" s="3">
        <v>1</v>
      </c>
      <c r="Y37" s="3">
        <v>1</v>
      </c>
      <c r="Z37" s="3">
        <v>1</v>
      </c>
      <c r="AA37" s="3">
        <v>1</v>
      </c>
      <c r="AC37" s="1" t="str">
        <f>[1]!Merge(T37:AA37,"")</f>
        <v>00001111</v>
      </c>
      <c r="AD37" s="1" t="str">
        <f t="shared" si="16"/>
        <v>0F</v>
      </c>
    </row>
    <row r="38" spans="1:32" x14ac:dyDescent="0.25">
      <c r="A38" s="1">
        <v>36</v>
      </c>
      <c r="B38" s="17" t="s">
        <v>46</v>
      </c>
      <c r="C38" s="17" t="str">
        <f t="shared" si="12"/>
        <v>00081E281C0A3C080000000000000024</v>
      </c>
      <c r="D38" s="1" t="str">
        <f t="shared" si="1"/>
        <v>$</v>
      </c>
      <c r="E38" s="5" t="s">
        <v>9</v>
      </c>
      <c r="T38" s="3">
        <v>0</v>
      </c>
      <c r="U38" s="3">
        <v>0</v>
      </c>
      <c r="V38" s="3">
        <v>0</v>
      </c>
      <c r="W38" s="3">
        <v>0</v>
      </c>
      <c r="X38" s="3">
        <v>1</v>
      </c>
      <c r="Y38" s="3">
        <v>1</v>
      </c>
      <c r="Z38" s="3">
        <v>1</v>
      </c>
      <c r="AA38" s="3">
        <v>1</v>
      </c>
      <c r="AC38" s="1" t="str">
        <f>[1]!Merge(T38:AA38,"")</f>
        <v>00001111</v>
      </c>
      <c r="AD38" s="1" t="str">
        <f t="shared" si="16"/>
        <v>0F</v>
      </c>
    </row>
    <row r="39" spans="1:32" x14ac:dyDescent="0.25">
      <c r="A39" s="1">
        <v>37</v>
      </c>
      <c r="B39" s="17" t="s">
        <v>47</v>
      </c>
      <c r="C39" s="17" t="str">
        <f t="shared" si="12"/>
        <v>00006264081026460000000000000025</v>
      </c>
      <c r="D39" s="1" t="str">
        <f t="shared" si="1"/>
        <v>%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C39" s="1" t="str">
        <f>[1]!Merge(T39:AA39,"")</f>
        <v>11111111</v>
      </c>
      <c r="AD39" s="1" t="str">
        <f t="shared" si="16"/>
        <v>FF</v>
      </c>
    </row>
    <row r="40" spans="1:32" x14ac:dyDescent="0.25">
      <c r="A40" s="1">
        <v>38</v>
      </c>
      <c r="B40" s="17" t="s">
        <v>48</v>
      </c>
      <c r="C40" s="17" t="str">
        <f t="shared" si="12"/>
        <v>00304848304A443A0000000000000026</v>
      </c>
      <c r="D40" s="1" t="str">
        <f t="shared" si="1"/>
        <v>&amp;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C40" s="1" t="str">
        <f>[1]!Merge(T40:AA40,"")</f>
        <v>11111111</v>
      </c>
      <c r="AD40" s="1" t="str">
        <f t="shared" si="16"/>
        <v>FF</v>
      </c>
    </row>
    <row r="41" spans="1:32" x14ac:dyDescent="0.25">
      <c r="A41" s="1">
        <v>39</v>
      </c>
      <c r="B41" s="17" t="s">
        <v>49</v>
      </c>
      <c r="C41" s="17" t="str">
        <f t="shared" si="12"/>
        <v>00040810000000000000000000000027</v>
      </c>
      <c r="D41" s="1" t="str">
        <f t="shared" si="1"/>
        <v>'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C41" s="1" t="str">
        <f>[1]!Merge(T41:AA41,"")</f>
        <v>11111111</v>
      </c>
      <c r="AD41" s="1" t="str">
        <f t="shared" si="16"/>
        <v>FF</v>
      </c>
    </row>
    <row r="42" spans="1:32" x14ac:dyDescent="0.25">
      <c r="A42" s="1">
        <v>40</v>
      </c>
      <c r="B42" s="17" t="s">
        <v>50</v>
      </c>
      <c r="C42" s="17" t="str">
        <f t="shared" si="12"/>
        <v>00040810101008040000000000000028</v>
      </c>
      <c r="D42" s="1" t="str">
        <f t="shared" si="1"/>
        <v>(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C42" s="1" t="str">
        <f>[1]!Merge(T42:AA42,"")</f>
        <v>11111111</v>
      </c>
      <c r="AD42" s="1" t="str">
        <f t="shared" si="16"/>
        <v>FF</v>
      </c>
    </row>
    <row r="43" spans="1:32" x14ac:dyDescent="0.25">
      <c r="A43" s="1">
        <v>41</v>
      </c>
      <c r="B43" s="17" t="s">
        <v>51</v>
      </c>
      <c r="C43" s="17" t="str">
        <f t="shared" si="12"/>
        <v>00201008080810200000000000000029</v>
      </c>
      <c r="D43" s="1" t="str">
        <f t="shared" si="1"/>
        <v>)</v>
      </c>
    </row>
    <row r="44" spans="1:32" x14ac:dyDescent="0.25">
      <c r="A44" s="1">
        <v>42</v>
      </c>
      <c r="B44" s="17" t="s">
        <v>52</v>
      </c>
      <c r="C44" s="17" t="str">
        <f t="shared" si="12"/>
        <v>00082A1C3E1C2A08000000000000002A</v>
      </c>
      <c r="D44" s="1" t="str">
        <f t="shared" si="1"/>
        <v>*</v>
      </c>
    </row>
    <row r="45" spans="1:32" x14ac:dyDescent="0.25">
      <c r="A45" s="1">
        <v>43</v>
      </c>
      <c r="B45" s="17" t="s">
        <v>53</v>
      </c>
      <c r="C45" s="17" t="str">
        <f t="shared" si="12"/>
        <v>000008083E080800000000000000002B</v>
      </c>
      <c r="D45" s="1" t="str">
        <f t="shared" si="1"/>
        <v>+</v>
      </c>
    </row>
    <row r="46" spans="1:32" x14ac:dyDescent="0.25">
      <c r="A46" s="1">
        <v>44</v>
      </c>
      <c r="B46" s="17" t="s">
        <v>54</v>
      </c>
      <c r="C46" s="17" t="str">
        <f t="shared" si="12"/>
        <v>0000000000000808100000000000002C</v>
      </c>
      <c r="D46" s="1" t="str">
        <f t="shared" si="1"/>
        <v>,</v>
      </c>
    </row>
    <row r="47" spans="1:32" x14ac:dyDescent="0.25">
      <c r="A47" s="1">
        <v>45</v>
      </c>
      <c r="B47" s="17" t="s">
        <v>55</v>
      </c>
      <c r="C47" s="17" t="str">
        <f t="shared" si="12"/>
        <v>000000007E000000000000000000002D</v>
      </c>
      <c r="D47" s="1" t="str">
        <f t="shared" si="1"/>
        <v>-</v>
      </c>
    </row>
    <row r="48" spans="1:32" x14ac:dyDescent="0.25">
      <c r="A48" s="1">
        <v>46</v>
      </c>
      <c r="B48" s="17" t="s">
        <v>56</v>
      </c>
      <c r="C48" s="17" t="str">
        <f t="shared" si="12"/>
        <v>0000000000000008000000000000002E</v>
      </c>
      <c r="D48" s="1" t="str">
        <f t="shared" si="1"/>
        <v>.</v>
      </c>
    </row>
    <row r="49" spans="1:4" x14ac:dyDescent="0.25">
      <c r="A49" s="1">
        <v>47</v>
      </c>
      <c r="B49" s="17" t="s">
        <v>57</v>
      </c>
      <c r="C49" s="17" t="str">
        <f t="shared" si="12"/>
        <v>0000020408102040000000000000002F</v>
      </c>
      <c r="D49" s="1" t="str">
        <f t="shared" si="1"/>
        <v>/</v>
      </c>
    </row>
    <row r="50" spans="1:4" x14ac:dyDescent="0.25">
      <c r="A50" s="1">
        <v>48</v>
      </c>
      <c r="B50" s="17" t="s">
        <v>58</v>
      </c>
      <c r="C50" s="17" t="str">
        <f t="shared" si="12"/>
        <v>003C42465A62423C0000000000000030</v>
      </c>
      <c r="D50" s="1" t="str">
        <f t="shared" si="1"/>
        <v>0</v>
      </c>
    </row>
    <row r="51" spans="1:4" x14ac:dyDescent="0.25">
      <c r="A51" s="1">
        <v>49</v>
      </c>
      <c r="B51" s="17" t="s">
        <v>59</v>
      </c>
      <c r="C51" s="17" t="str">
        <f t="shared" si="12"/>
        <v>000818280808083E0000000000000031</v>
      </c>
      <c r="D51" s="1" t="str">
        <f t="shared" si="1"/>
        <v>1</v>
      </c>
    </row>
    <row r="52" spans="1:4" x14ac:dyDescent="0.25">
      <c r="A52" s="1">
        <v>50</v>
      </c>
      <c r="B52" s="17" t="s">
        <v>60</v>
      </c>
      <c r="C52" s="17" t="str">
        <f t="shared" si="12"/>
        <v>003C42020C30407E0000000000000032</v>
      </c>
      <c r="D52" s="1" t="str">
        <f t="shared" si="1"/>
        <v>2</v>
      </c>
    </row>
    <row r="53" spans="1:4" x14ac:dyDescent="0.25">
      <c r="A53" s="1">
        <v>51</v>
      </c>
      <c r="B53" s="17" t="s">
        <v>61</v>
      </c>
      <c r="C53" s="17" t="str">
        <f t="shared" si="12"/>
        <v>003C42021C02423C0000000000000033</v>
      </c>
      <c r="D53" s="1" t="str">
        <f t="shared" si="1"/>
        <v>3</v>
      </c>
    </row>
    <row r="54" spans="1:4" x14ac:dyDescent="0.25">
      <c r="A54" s="1">
        <v>52</v>
      </c>
      <c r="B54" s="17" t="s">
        <v>62</v>
      </c>
      <c r="C54" s="17" t="str">
        <f t="shared" si="12"/>
        <v>00040C14247E04040000000000000034</v>
      </c>
      <c r="D54" s="1" t="str">
        <f t="shared" si="1"/>
        <v>4</v>
      </c>
    </row>
    <row r="55" spans="1:4" x14ac:dyDescent="0.25">
      <c r="A55" s="1">
        <v>53</v>
      </c>
      <c r="B55" s="17" t="s">
        <v>63</v>
      </c>
      <c r="C55" s="17" t="str">
        <f t="shared" si="12"/>
        <v>007E4078040244380000000000000035</v>
      </c>
      <c r="D55" s="1" t="str">
        <f t="shared" si="1"/>
        <v>5</v>
      </c>
    </row>
    <row r="56" spans="1:4" x14ac:dyDescent="0.25">
      <c r="A56" s="1">
        <v>54</v>
      </c>
      <c r="B56" s="17" t="s">
        <v>64</v>
      </c>
      <c r="C56" s="17" t="str">
        <f t="shared" si="12"/>
        <v>001C20407C42423C0000000000000036</v>
      </c>
      <c r="D56" s="1" t="str">
        <f t="shared" si="1"/>
        <v>6</v>
      </c>
    </row>
    <row r="57" spans="1:4" x14ac:dyDescent="0.25">
      <c r="A57" s="1">
        <v>55</v>
      </c>
      <c r="B57" s="17" t="s">
        <v>65</v>
      </c>
      <c r="C57" s="17" t="str">
        <f t="shared" si="12"/>
        <v>007E4204081010100000000000000037</v>
      </c>
      <c r="D57" s="1" t="str">
        <f t="shared" si="1"/>
        <v>7</v>
      </c>
    </row>
    <row r="58" spans="1:4" x14ac:dyDescent="0.25">
      <c r="A58" s="1">
        <v>56</v>
      </c>
      <c r="B58" s="17" t="s">
        <v>66</v>
      </c>
      <c r="C58" s="17" t="str">
        <f t="shared" si="12"/>
        <v>003C42423C42423C0000000000000038</v>
      </c>
      <c r="D58" s="1" t="str">
        <f t="shared" si="1"/>
        <v>8</v>
      </c>
    </row>
    <row r="59" spans="1:4" x14ac:dyDescent="0.25">
      <c r="A59" s="1">
        <v>57</v>
      </c>
      <c r="B59" s="17" t="s">
        <v>67</v>
      </c>
      <c r="C59" s="17" t="str">
        <f t="shared" si="12"/>
        <v>003C42423E0204380000000000000039</v>
      </c>
      <c r="D59" s="1" t="str">
        <f t="shared" si="1"/>
        <v>9</v>
      </c>
    </row>
    <row r="60" spans="1:4" x14ac:dyDescent="0.25">
      <c r="A60" s="1">
        <v>58</v>
      </c>
      <c r="B60" s="17" t="s">
        <v>68</v>
      </c>
      <c r="C60" s="17" t="str">
        <f t="shared" si="12"/>
        <v>0000000800000800000000000000003A</v>
      </c>
      <c r="D60" s="1" t="str">
        <f t="shared" si="1"/>
        <v>:</v>
      </c>
    </row>
    <row r="61" spans="1:4" x14ac:dyDescent="0.25">
      <c r="A61" s="1">
        <v>59</v>
      </c>
      <c r="B61" s="17" t="s">
        <v>69</v>
      </c>
      <c r="C61" s="17" t="str">
        <f t="shared" si="12"/>
        <v>0000000800000808100000000000003B</v>
      </c>
      <c r="D61" s="1" t="str">
        <f t="shared" si="1"/>
        <v>;</v>
      </c>
    </row>
    <row r="62" spans="1:4" x14ac:dyDescent="0.25">
      <c r="A62" s="1">
        <v>60</v>
      </c>
      <c r="B62" s="17" t="s">
        <v>70</v>
      </c>
      <c r="C62" s="17" t="str">
        <f t="shared" si="12"/>
        <v>00060C1830180C06000000000000003C</v>
      </c>
      <c r="D62" s="1" t="str">
        <f t="shared" si="1"/>
        <v>&lt;</v>
      </c>
    </row>
    <row r="63" spans="1:4" x14ac:dyDescent="0.25">
      <c r="A63" s="1">
        <v>61</v>
      </c>
      <c r="B63" s="17" t="s">
        <v>71</v>
      </c>
      <c r="C63" s="17" t="str">
        <f t="shared" si="12"/>
        <v>0000007E007E0000000000000000003D</v>
      </c>
      <c r="D63" s="1" t="str">
        <f t="shared" si="1"/>
        <v>=</v>
      </c>
    </row>
    <row r="64" spans="1:4" x14ac:dyDescent="0.25">
      <c r="A64" s="1">
        <v>62</v>
      </c>
      <c r="B64" s="17" t="s">
        <v>72</v>
      </c>
      <c r="C64" s="17" t="str">
        <f t="shared" si="12"/>
        <v>006030180C183060000000000000003E</v>
      </c>
      <c r="D64" s="1" t="str">
        <f t="shared" si="1"/>
        <v>&gt;</v>
      </c>
    </row>
    <row r="65" spans="1:4" x14ac:dyDescent="0.25">
      <c r="A65" s="1">
        <v>63</v>
      </c>
      <c r="B65" s="17" t="s">
        <v>73</v>
      </c>
      <c r="C65" s="17" t="str">
        <f t="shared" si="12"/>
        <v>003C42020C100010000000000000003F</v>
      </c>
      <c r="D65" s="1" t="str">
        <f t="shared" si="1"/>
        <v>?</v>
      </c>
    </row>
    <row r="66" spans="1:4" x14ac:dyDescent="0.25">
      <c r="A66" s="1">
        <v>64</v>
      </c>
      <c r="B66" s="17" t="s">
        <v>74</v>
      </c>
      <c r="C66" s="17" t="str">
        <f t="shared" si="12"/>
        <v>001C224A564C201E0000000000000040</v>
      </c>
      <c r="D66" s="1" t="str">
        <f t="shared" si="1"/>
        <v>@</v>
      </c>
    </row>
    <row r="67" spans="1:4" x14ac:dyDescent="0.25">
      <c r="A67" s="1">
        <v>65</v>
      </c>
      <c r="B67" s="17" t="s">
        <v>75</v>
      </c>
      <c r="C67" s="17" t="str">
        <f t="shared" si="12"/>
        <v>001824427E4242420000000000000041</v>
      </c>
      <c r="D67" s="1" t="str">
        <f t="shared" ref="D67:D129" si="17">IF(A67&gt;32,CHAR(A67),"--")</f>
        <v>A</v>
      </c>
    </row>
    <row r="68" spans="1:4" x14ac:dyDescent="0.25">
      <c r="A68" s="1">
        <v>66</v>
      </c>
      <c r="B68" s="17" t="s">
        <v>76</v>
      </c>
      <c r="C68" s="17" t="str">
        <f t="shared" si="12"/>
        <v>007C22223C22227C0000000000000042</v>
      </c>
      <c r="D68" s="1" t="str">
        <f t="shared" si="17"/>
        <v>B</v>
      </c>
    </row>
    <row r="69" spans="1:4" x14ac:dyDescent="0.25">
      <c r="A69" s="1">
        <v>67</v>
      </c>
      <c r="B69" s="17" t="s">
        <v>77</v>
      </c>
      <c r="C69" s="17" t="str">
        <f t="shared" ref="C69:C129" si="18">MID(B69,10,32)</f>
        <v>001C22404040221C0000000000000043</v>
      </c>
      <c r="D69" s="1" t="str">
        <f t="shared" si="17"/>
        <v>C</v>
      </c>
    </row>
    <row r="70" spans="1:4" x14ac:dyDescent="0.25">
      <c r="A70" s="1">
        <v>68</v>
      </c>
      <c r="B70" s="17" t="s">
        <v>78</v>
      </c>
      <c r="C70" s="17" t="str">
        <f t="shared" si="18"/>
        <v>00782422222224780000000000000044</v>
      </c>
      <c r="D70" s="1" t="str">
        <f t="shared" si="17"/>
        <v>D</v>
      </c>
    </row>
    <row r="71" spans="1:4" x14ac:dyDescent="0.25">
      <c r="A71" s="1">
        <v>69</v>
      </c>
      <c r="B71" s="17" t="s">
        <v>79</v>
      </c>
      <c r="C71" s="17" t="str">
        <f t="shared" si="18"/>
        <v>007E20203820207E0000000000780045</v>
      </c>
      <c r="D71" s="1" t="str">
        <f t="shared" si="17"/>
        <v>E</v>
      </c>
    </row>
    <row r="72" spans="1:4" x14ac:dyDescent="0.25">
      <c r="A72" s="1">
        <v>70</v>
      </c>
      <c r="B72" s="17" t="s">
        <v>80</v>
      </c>
      <c r="C72" s="17" t="str">
        <f t="shared" si="18"/>
        <v>007E2020382020200000000000780046</v>
      </c>
      <c r="D72" s="1" t="str">
        <f t="shared" si="17"/>
        <v>F</v>
      </c>
    </row>
    <row r="73" spans="1:4" x14ac:dyDescent="0.25">
      <c r="A73" s="1">
        <v>71</v>
      </c>
      <c r="B73" s="17" t="s">
        <v>81</v>
      </c>
      <c r="C73" s="17" t="str">
        <f t="shared" si="18"/>
        <v>001C22404E42221C0000000000000047</v>
      </c>
      <c r="D73" s="1" t="str">
        <f t="shared" si="17"/>
        <v>G</v>
      </c>
    </row>
    <row r="74" spans="1:4" x14ac:dyDescent="0.25">
      <c r="A74" s="1">
        <v>72</v>
      </c>
      <c r="B74" s="17" t="s">
        <v>82</v>
      </c>
      <c r="C74" s="17" t="str">
        <f t="shared" si="18"/>
        <v>004242427E4242420000000000000048</v>
      </c>
      <c r="D74" s="1" t="str">
        <f t="shared" si="17"/>
        <v>H</v>
      </c>
    </row>
    <row r="75" spans="1:4" x14ac:dyDescent="0.25">
      <c r="A75" s="1">
        <v>73</v>
      </c>
      <c r="B75" s="17" t="s">
        <v>83</v>
      </c>
      <c r="C75" s="17" t="str">
        <f t="shared" si="18"/>
        <v>001C08080808081C0000000000000049</v>
      </c>
      <c r="D75" s="1" t="str">
        <f t="shared" si="17"/>
        <v>I</v>
      </c>
    </row>
    <row r="76" spans="1:4" x14ac:dyDescent="0.25">
      <c r="A76" s="1">
        <v>74</v>
      </c>
      <c r="B76" s="17" t="s">
        <v>84</v>
      </c>
      <c r="C76" s="17" t="str">
        <f t="shared" si="18"/>
        <v>000E040404044438000000000000004A</v>
      </c>
      <c r="D76" s="1" t="str">
        <f t="shared" si="17"/>
        <v>J</v>
      </c>
    </row>
    <row r="77" spans="1:4" x14ac:dyDescent="0.25">
      <c r="A77" s="1">
        <v>75</v>
      </c>
      <c r="B77" s="17" t="s">
        <v>85</v>
      </c>
      <c r="C77" s="17" t="str">
        <f t="shared" si="18"/>
        <v>0042444870484442000000000000004B</v>
      </c>
      <c r="D77" s="1" t="str">
        <f t="shared" si="17"/>
        <v>K</v>
      </c>
    </row>
    <row r="78" spans="1:4" x14ac:dyDescent="0.25">
      <c r="A78" s="1">
        <v>76</v>
      </c>
      <c r="B78" s="17" t="s">
        <v>86</v>
      </c>
      <c r="C78" s="17" t="str">
        <f t="shared" si="18"/>
        <v>007020202020227E000000000078004C</v>
      </c>
      <c r="D78" s="1" t="str">
        <f t="shared" si="17"/>
        <v>L</v>
      </c>
    </row>
    <row r="79" spans="1:4" x14ac:dyDescent="0.25">
      <c r="A79" s="1">
        <v>77</v>
      </c>
      <c r="B79" s="17" t="s">
        <v>87</v>
      </c>
      <c r="C79" s="17" t="str">
        <f t="shared" si="18"/>
        <v>0042665A5A424242000000000000004D</v>
      </c>
      <c r="D79" s="1" t="str">
        <f t="shared" si="17"/>
        <v>M</v>
      </c>
    </row>
    <row r="80" spans="1:4" x14ac:dyDescent="0.25">
      <c r="A80" s="1">
        <v>78</v>
      </c>
      <c r="B80" s="17" t="s">
        <v>88</v>
      </c>
      <c r="C80" s="17" t="str">
        <f t="shared" si="18"/>
        <v>004262524A464242000000000000004E</v>
      </c>
      <c r="D80" s="1" t="str">
        <f t="shared" si="17"/>
        <v>N</v>
      </c>
    </row>
    <row r="81" spans="1:4" x14ac:dyDescent="0.25">
      <c r="A81" s="1">
        <v>79</v>
      </c>
      <c r="B81" s="17" t="s">
        <v>89</v>
      </c>
      <c r="C81" s="17" t="str">
        <f t="shared" si="18"/>
        <v>003C42424242423C000000000000004F</v>
      </c>
      <c r="D81" s="1" t="str">
        <f t="shared" si="17"/>
        <v>O</v>
      </c>
    </row>
    <row r="82" spans="1:4" x14ac:dyDescent="0.25">
      <c r="A82" s="1">
        <v>80</v>
      </c>
      <c r="B82" s="17" t="s">
        <v>90</v>
      </c>
      <c r="C82" s="17" t="str">
        <f t="shared" si="18"/>
        <v>007C42427C4040400000000000000050</v>
      </c>
      <c r="D82" s="1" t="str">
        <f t="shared" si="17"/>
        <v>P</v>
      </c>
    </row>
    <row r="83" spans="1:4" x14ac:dyDescent="0.25">
      <c r="A83" s="1">
        <v>81</v>
      </c>
      <c r="B83" s="17" t="s">
        <v>91</v>
      </c>
      <c r="C83" s="17" t="str">
        <f t="shared" si="18"/>
        <v>003C4242424A443A0000000000000051</v>
      </c>
      <c r="D83" s="1" t="str">
        <f t="shared" si="17"/>
        <v>Q</v>
      </c>
    </row>
    <row r="84" spans="1:4" x14ac:dyDescent="0.25">
      <c r="A84" s="1">
        <v>82</v>
      </c>
      <c r="B84" s="17" t="s">
        <v>92</v>
      </c>
      <c r="C84" s="17" t="str">
        <f t="shared" si="18"/>
        <v>007C42427C4844420000000000000052</v>
      </c>
      <c r="D84" s="1" t="str">
        <f t="shared" si="17"/>
        <v>R</v>
      </c>
    </row>
    <row r="85" spans="1:4" x14ac:dyDescent="0.25">
      <c r="A85" s="1">
        <v>83</v>
      </c>
      <c r="B85" s="17" t="s">
        <v>93</v>
      </c>
      <c r="C85" s="17" t="str">
        <f t="shared" si="18"/>
        <v>003C42403C02423C0000000000000053</v>
      </c>
      <c r="D85" s="1" t="str">
        <f t="shared" si="17"/>
        <v>S</v>
      </c>
    </row>
    <row r="86" spans="1:4" x14ac:dyDescent="0.25">
      <c r="A86" s="1">
        <v>84</v>
      </c>
      <c r="B86" s="17" t="s">
        <v>94</v>
      </c>
      <c r="C86" s="17" t="str">
        <f t="shared" si="18"/>
        <v>003E0808080808080000000000000054</v>
      </c>
      <c r="D86" s="1" t="str">
        <f t="shared" si="17"/>
        <v>T</v>
      </c>
    </row>
    <row r="87" spans="1:4" x14ac:dyDescent="0.25">
      <c r="A87" s="1">
        <v>85</v>
      </c>
      <c r="B87" s="17" t="s">
        <v>95</v>
      </c>
      <c r="C87" s="17" t="str">
        <f t="shared" si="18"/>
        <v>004242424242423C0000000000000055</v>
      </c>
      <c r="D87" s="1" t="str">
        <f t="shared" si="17"/>
        <v>U</v>
      </c>
    </row>
    <row r="88" spans="1:4" x14ac:dyDescent="0.25">
      <c r="A88" s="1">
        <v>86</v>
      </c>
      <c r="B88" s="17" t="s">
        <v>96</v>
      </c>
      <c r="C88" s="17" t="str">
        <f t="shared" si="18"/>
        <v>00424242242418180000000000000056</v>
      </c>
      <c r="D88" s="1" t="str">
        <f t="shared" si="17"/>
        <v>V</v>
      </c>
    </row>
    <row r="89" spans="1:4" x14ac:dyDescent="0.25">
      <c r="A89" s="1">
        <v>87</v>
      </c>
      <c r="B89" s="17" t="s">
        <v>97</v>
      </c>
      <c r="C89" s="17" t="str">
        <f t="shared" si="18"/>
        <v>00414141414955220000000000780057</v>
      </c>
      <c r="D89" s="1" t="str">
        <f t="shared" si="17"/>
        <v>W</v>
      </c>
    </row>
    <row r="90" spans="1:4" x14ac:dyDescent="0.25">
      <c r="A90" s="1">
        <v>88</v>
      </c>
      <c r="B90" s="17" t="s">
        <v>98</v>
      </c>
      <c r="C90" s="17" t="str">
        <f t="shared" si="18"/>
        <v>00424224182442420000000000000058</v>
      </c>
      <c r="D90" s="1" t="str">
        <f t="shared" si="17"/>
        <v>X</v>
      </c>
    </row>
    <row r="91" spans="1:4" x14ac:dyDescent="0.25">
      <c r="A91" s="1">
        <v>89</v>
      </c>
      <c r="B91" s="17" t="s">
        <v>99</v>
      </c>
      <c r="C91" s="17" t="str">
        <f t="shared" si="18"/>
        <v>002222221C0808080000000000000059</v>
      </c>
      <c r="D91" s="1" t="str">
        <f t="shared" si="17"/>
        <v>Y</v>
      </c>
    </row>
    <row r="92" spans="1:4" x14ac:dyDescent="0.25">
      <c r="A92" s="1">
        <v>90</v>
      </c>
      <c r="B92" s="17" t="s">
        <v>100</v>
      </c>
      <c r="C92" s="17" t="str">
        <f t="shared" si="18"/>
        <v>007E02041820407E000000000000005A</v>
      </c>
      <c r="D92" s="1" t="str">
        <f t="shared" si="17"/>
        <v>Z</v>
      </c>
    </row>
    <row r="93" spans="1:4" x14ac:dyDescent="0.25">
      <c r="A93" s="1">
        <v>91</v>
      </c>
      <c r="B93" s="17" t="s">
        <v>101</v>
      </c>
      <c r="C93" s="17" t="str">
        <f t="shared" si="18"/>
        <v>003C20202020203C000000000000005B</v>
      </c>
      <c r="D93" s="1" t="str">
        <f t="shared" si="17"/>
        <v>[</v>
      </c>
    </row>
    <row r="94" spans="1:4" x14ac:dyDescent="0.25">
      <c r="A94" s="1">
        <v>92</v>
      </c>
      <c r="B94" s="17" t="s">
        <v>102</v>
      </c>
      <c r="C94" s="17" t="str">
        <f t="shared" si="18"/>
        <v>0000402010080402000000000000005C</v>
      </c>
      <c r="D94" s="1" t="str">
        <f t="shared" si="17"/>
        <v>\</v>
      </c>
    </row>
    <row r="95" spans="1:4" x14ac:dyDescent="0.25">
      <c r="A95" s="1">
        <v>93</v>
      </c>
      <c r="B95" s="17" t="s">
        <v>103</v>
      </c>
      <c r="C95" s="17" t="str">
        <f t="shared" si="18"/>
        <v>003C04040404043C000000000000005D</v>
      </c>
      <c r="D95" s="1" t="str">
        <f t="shared" si="17"/>
        <v>]</v>
      </c>
    </row>
    <row r="96" spans="1:4" x14ac:dyDescent="0.25">
      <c r="A96" s="1">
        <v>94</v>
      </c>
      <c r="B96" s="17" t="s">
        <v>104</v>
      </c>
      <c r="C96" s="17" t="str">
        <f t="shared" si="18"/>
        <v>0008142200000000000000000000005E</v>
      </c>
      <c r="D96" s="1" t="str">
        <f t="shared" si="17"/>
        <v>^</v>
      </c>
    </row>
    <row r="97" spans="1:4" x14ac:dyDescent="0.25">
      <c r="A97" s="1">
        <v>95</v>
      </c>
      <c r="B97" s="17" t="s">
        <v>105</v>
      </c>
      <c r="C97" s="17" t="str">
        <f t="shared" si="18"/>
        <v>0000000000000000FF0000000000005F</v>
      </c>
      <c r="D97" s="1" t="str">
        <f t="shared" si="17"/>
        <v>_</v>
      </c>
    </row>
    <row r="98" spans="1:4" x14ac:dyDescent="0.25">
      <c r="A98" s="1">
        <v>96</v>
      </c>
      <c r="B98" s="17" t="s">
        <v>106</v>
      </c>
      <c r="C98" s="17" t="str">
        <f t="shared" si="18"/>
        <v>00100804000000000000000000000060</v>
      </c>
      <c r="D98" s="1" t="str">
        <f t="shared" si="17"/>
        <v>`</v>
      </c>
    </row>
    <row r="99" spans="1:4" x14ac:dyDescent="0.25">
      <c r="A99" s="1">
        <v>97</v>
      </c>
      <c r="B99" s="17" t="s">
        <v>107</v>
      </c>
      <c r="C99" s="17" t="str">
        <f t="shared" si="18"/>
        <v>00000038043C443A0000000000000061</v>
      </c>
      <c r="D99" s="1" t="str">
        <f t="shared" si="17"/>
        <v>a</v>
      </c>
    </row>
    <row r="100" spans="1:4" x14ac:dyDescent="0.25">
      <c r="A100" s="1">
        <v>98</v>
      </c>
      <c r="B100" s="17" t="s">
        <v>108</v>
      </c>
      <c r="C100" s="17" t="str">
        <f t="shared" si="18"/>
        <v>0040405C6242625C0000000000000062</v>
      </c>
      <c r="D100" s="1" t="str">
        <f t="shared" si="17"/>
        <v>b</v>
      </c>
    </row>
    <row r="101" spans="1:4" x14ac:dyDescent="0.25">
      <c r="A101" s="1">
        <v>99</v>
      </c>
      <c r="B101" s="17" t="s">
        <v>109</v>
      </c>
      <c r="C101" s="17" t="str">
        <f t="shared" si="18"/>
        <v>0000003C4240423C0000000000000063</v>
      </c>
      <c r="D101" s="1" t="str">
        <f t="shared" si="17"/>
        <v>c</v>
      </c>
    </row>
    <row r="102" spans="1:4" x14ac:dyDescent="0.25">
      <c r="A102" s="1">
        <v>100</v>
      </c>
      <c r="B102" s="17" t="s">
        <v>110</v>
      </c>
      <c r="C102" s="17" t="str">
        <f t="shared" si="18"/>
        <v>0002023A4642463A0000000000000064</v>
      </c>
      <c r="D102" s="1" t="str">
        <f t="shared" si="17"/>
        <v>d</v>
      </c>
    </row>
    <row r="103" spans="1:4" x14ac:dyDescent="0.25">
      <c r="A103" s="1">
        <v>101</v>
      </c>
      <c r="B103" s="17" t="s">
        <v>111</v>
      </c>
      <c r="C103" s="17" t="str">
        <f t="shared" si="18"/>
        <v>0000003C427E403C0000000000000065</v>
      </c>
      <c r="D103" s="1" t="str">
        <f t="shared" si="17"/>
        <v>e</v>
      </c>
    </row>
    <row r="104" spans="1:4" x14ac:dyDescent="0.25">
      <c r="A104" s="1">
        <v>102</v>
      </c>
      <c r="B104" s="17" t="s">
        <v>112</v>
      </c>
      <c r="C104" s="17" t="str">
        <f t="shared" si="18"/>
        <v>000C12107C1010100000000000000066</v>
      </c>
      <c r="D104" s="1" t="str">
        <f t="shared" si="17"/>
        <v>f</v>
      </c>
    </row>
    <row r="105" spans="1:4" x14ac:dyDescent="0.25">
      <c r="A105" s="1">
        <v>103</v>
      </c>
      <c r="B105" s="17" t="s">
        <v>113</v>
      </c>
      <c r="C105" s="17" t="str">
        <f t="shared" si="18"/>
        <v>0000003A46463A023C00000000000067</v>
      </c>
      <c r="D105" s="1" t="str">
        <f t="shared" si="17"/>
        <v>g</v>
      </c>
    </row>
    <row r="106" spans="1:4" x14ac:dyDescent="0.25">
      <c r="A106" s="1">
        <v>104</v>
      </c>
      <c r="B106" s="17" t="s">
        <v>114</v>
      </c>
      <c r="C106" s="17" t="str">
        <f t="shared" si="18"/>
        <v>0040405C624242420000000000000068</v>
      </c>
      <c r="D106" s="1" t="str">
        <f t="shared" si="17"/>
        <v>h</v>
      </c>
    </row>
    <row r="107" spans="1:4" x14ac:dyDescent="0.25">
      <c r="A107" s="1">
        <v>105</v>
      </c>
      <c r="B107" s="17" t="s">
        <v>115</v>
      </c>
      <c r="C107" s="17" t="str">
        <f t="shared" si="18"/>
        <v>000800180808081C0000000000000069</v>
      </c>
      <c r="D107" s="1" t="str">
        <f t="shared" si="17"/>
        <v>i</v>
      </c>
    </row>
    <row r="108" spans="1:4" x14ac:dyDescent="0.25">
      <c r="A108" s="1">
        <v>106</v>
      </c>
      <c r="B108" s="17" t="s">
        <v>116</v>
      </c>
      <c r="C108" s="17" t="str">
        <f t="shared" si="18"/>
        <v>0004000C04040444380000000000006A</v>
      </c>
      <c r="D108" s="1" t="str">
        <f t="shared" si="17"/>
        <v>j</v>
      </c>
    </row>
    <row r="109" spans="1:4" x14ac:dyDescent="0.25">
      <c r="A109" s="1">
        <v>107</v>
      </c>
      <c r="B109" s="17" t="s">
        <v>117</v>
      </c>
      <c r="C109" s="17" t="str">
        <f t="shared" si="18"/>
        <v>0020202428302824000000000078006B</v>
      </c>
      <c r="D109" s="1" t="str">
        <f t="shared" si="17"/>
        <v>k</v>
      </c>
    </row>
    <row r="110" spans="1:4" x14ac:dyDescent="0.25">
      <c r="A110" s="1">
        <v>108</v>
      </c>
      <c r="B110" s="17" t="s">
        <v>118</v>
      </c>
      <c r="C110" s="17" t="str">
        <f t="shared" si="18"/>
        <v>001808080808081C000000000000006C</v>
      </c>
      <c r="D110" s="1" t="str">
        <f t="shared" si="17"/>
        <v>l</v>
      </c>
    </row>
    <row r="111" spans="1:4" x14ac:dyDescent="0.25">
      <c r="A111" s="1">
        <v>109</v>
      </c>
      <c r="B111" s="17" t="s">
        <v>119</v>
      </c>
      <c r="C111" s="17" t="str">
        <f t="shared" si="18"/>
        <v>0000007649494949000000000000006D</v>
      </c>
      <c r="D111" s="1" t="str">
        <f t="shared" si="17"/>
        <v>m</v>
      </c>
    </row>
    <row r="112" spans="1:4" x14ac:dyDescent="0.25">
      <c r="A112" s="1">
        <v>110</v>
      </c>
      <c r="B112" s="17" t="s">
        <v>120</v>
      </c>
      <c r="C112" s="17" t="str">
        <f t="shared" si="18"/>
        <v>0000005C62424242000000000000006E</v>
      </c>
      <c r="D112" s="1" t="str">
        <f t="shared" si="17"/>
        <v>n</v>
      </c>
    </row>
    <row r="113" spans="1:4" x14ac:dyDescent="0.25">
      <c r="A113" s="1">
        <v>111</v>
      </c>
      <c r="B113" s="17" t="s">
        <v>121</v>
      </c>
      <c r="C113" s="17" t="str">
        <f t="shared" si="18"/>
        <v>0000003C4242423C000000000000006F</v>
      </c>
      <c r="D113" s="1" t="str">
        <f t="shared" si="17"/>
        <v>o</v>
      </c>
    </row>
    <row r="114" spans="1:4" x14ac:dyDescent="0.25">
      <c r="A114" s="1">
        <v>112</v>
      </c>
      <c r="B114" s="17" t="s">
        <v>122</v>
      </c>
      <c r="C114" s="17" t="str">
        <f t="shared" si="18"/>
        <v>0000005C62625C404000000000000070</v>
      </c>
      <c r="D114" s="1" t="str">
        <f t="shared" si="17"/>
        <v>p</v>
      </c>
    </row>
    <row r="115" spans="1:4" x14ac:dyDescent="0.25">
      <c r="A115" s="1">
        <v>113</v>
      </c>
      <c r="B115" s="17" t="s">
        <v>123</v>
      </c>
      <c r="C115" s="17" t="str">
        <f t="shared" si="18"/>
        <v>0000003A46463A020200000000000071</v>
      </c>
      <c r="D115" s="1" t="str">
        <f t="shared" si="17"/>
        <v>q</v>
      </c>
    </row>
    <row r="116" spans="1:4" x14ac:dyDescent="0.25">
      <c r="A116" s="1">
        <v>114</v>
      </c>
      <c r="B116" s="17" t="s">
        <v>124</v>
      </c>
      <c r="C116" s="17" t="str">
        <f t="shared" si="18"/>
        <v>0000005C624040400000000000000072</v>
      </c>
      <c r="D116" s="1" t="str">
        <f t="shared" si="17"/>
        <v>r</v>
      </c>
    </row>
    <row r="117" spans="1:4" x14ac:dyDescent="0.25">
      <c r="A117" s="1">
        <v>115</v>
      </c>
      <c r="B117" s="17" t="s">
        <v>125</v>
      </c>
      <c r="C117" s="17" t="str">
        <f t="shared" si="18"/>
        <v>0000003E403C027C0000000000000073</v>
      </c>
      <c r="D117" s="1" t="str">
        <f t="shared" si="17"/>
        <v>s</v>
      </c>
    </row>
    <row r="118" spans="1:4" x14ac:dyDescent="0.25">
      <c r="A118" s="1">
        <v>116</v>
      </c>
      <c r="B118" s="17" t="s">
        <v>126</v>
      </c>
      <c r="C118" s="17" t="str">
        <f t="shared" si="18"/>
        <v>0010107C1010120C0000000000000074</v>
      </c>
      <c r="D118" s="1" t="str">
        <f t="shared" si="17"/>
        <v>t</v>
      </c>
    </row>
    <row r="119" spans="1:4" x14ac:dyDescent="0.25">
      <c r="A119" s="1">
        <v>117</v>
      </c>
      <c r="B119" s="17" t="s">
        <v>127</v>
      </c>
      <c r="C119" s="17" t="str">
        <f t="shared" si="18"/>
        <v>000000424242463A0000000000000075</v>
      </c>
      <c r="D119" s="1" t="str">
        <f t="shared" si="17"/>
        <v>u</v>
      </c>
    </row>
    <row r="120" spans="1:4" x14ac:dyDescent="0.25">
      <c r="A120" s="1">
        <v>118</v>
      </c>
      <c r="B120" s="17" t="s">
        <v>128</v>
      </c>
      <c r="C120" s="17" t="str">
        <f t="shared" si="18"/>
        <v>00000042424224180000000000000076</v>
      </c>
      <c r="D120" s="1" t="str">
        <f t="shared" si="17"/>
        <v>v</v>
      </c>
    </row>
    <row r="121" spans="1:4" x14ac:dyDescent="0.25">
      <c r="A121" s="1">
        <v>119</v>
      </c>
      <c r="B121" s="17" t="s">
        <v>129</v>
      </c>
      <c r="C121" s="17" t="str">
        <f t="shared" si="18"/>
        <v>00000041494949360000000000000077</v>
      </c>
      <c r="D121" s="1" t="str">
        <f t="shared" si="17"/>
        <v>w</v>
      </c>
    </row>
    <row r="122" spans="1:4" x14ac:dyDescent="0.25">
      <c r="A122" s="1">
        <v>120</v>
      </c>
      <c r="B122" s="17" t="s">
        <v>130</v>
      </c>
      <c r="C122" s="17" t="str">
        <f t="shared" si="18"/>
        <v>00000042241824420000000000000078</v>
      </c>
      <c r="D122" s="1" t="str">
        <f t="shared" si="17"/>
        <v>x</v>
      </c>
    </row>
    <row r="123" spans="1:4" x14ac:dyDescent="0.25">
      <c r="A123" s="1">
        <v>121</v>
      </c>
      <c r="B123" s="17" t="s">
        <v>131</v>
      </c>
      <c r="C123" s="17" t="str">
        <f t="shared" si="18"/>
        <v>0000004242463A023C00000000000079</v>
      </c>
      <c r="D123" s="1" t="str">
        <f t="shared" si="17"/>
        <v>y</v>
      </c>
    </row>
    <row r="124" spans="1:4" x14ac:dyDescent="0.25">
      <c r="A124" s="1">
        <v>122</v>
      </c>
      <c r="B124" s="17" t="s">
        <v>132</v>
      </c>
      <c r="C124" s="17" t="str">
        <f t="shared" si="18"/>
        <v>0000007E0418207E000000000000007A</v>
      </c>
      <c r="D124" s="1" t="str">
        <f t="shared" si="17"/>
        <v>z</v>
      </c>
    </row>
    <row r="125" spans="1:4" x14ac:dyDescent="0.25">
      <c r="A125" s="1">
        <v>123</v>
      </c>
      <c r="B125" s="17" t="s">
        <v>133</v>
      </c>
      <c r="C125" s="17" t="str">
        <f t="shared" si="18"/>
        <v>000C10102010100C000000000000007B</v>
      </c>
      <c r="D125" s="1" t="str">
        <f t="shared" si="17"/>
        <v>{</v>
      </c>
    </row>
    <row r="126" spans="1:4" x14ac:dyDescent="0.25">
      <c r="A126" s="1">
        <v>124</v>
      </c>
      <c r="B126" s="17" t="s">
        <v>134</v>
      </c>
      <c r="C126" s="17" t="str">
        <f t="shared" si="18"/>
        <v>0008080800080808000000000000007C</v>
      </c>
      <c r="D126" s="1" t="str">
        <f t="shared" si="17"/>
        <v>|</v>
      </c>
    </row>
    <row r="127" spans="1:4" x14ac:dyDescent="0.25">
      <c r="A127" s="1">
        <v>125</v>
      </c>
      <c r="B127" s="17" t="s">
        <v>135</v>
      </c>
      <c r="C127" s="17" t="str">
        <f t="shared" si="18"/>
        <v>0030080804080830000000000000007D</v>
      </c>
      <c r="D127" s="1" t="str">
        <f t="shared" si="17"/>
        <v>}</v>
      </c>
    </row>
    <row r="128" spans="1:4" x14ac:dyDescent="0.25">
      <c r="A128" s="1">
        <v>126</v>
      </c>
      <c r="B128" s="17" t="s">
        <v>136</v>
      </c>
      <c r="C128" s="17" t="str">
        <f t="shared" si="18"/>
        <v>0030490600000000000000000000007E</v>
      </c>
      <c r="D128" s="1" t="str">
        <f t="shared" si="17"/>
        <v>~</v>
      </c>
    </row>
    <row r="129" spans="1:7" x14ac:dyDescent="0.25">
      <c r="A129" s="1">
        <v>127</v>
      </c>
      <c r="B129" s="17" t="s">
        <v>137</v>
      </c>
      <c r="C129" s="17" t="str">
        <f t="shared" si="18"/>
        <v>0008083E0808003E000000000044454C</v>
      </c>
      <c r="D129" s="1" t="str">
        <f t="shared" si="17"/>
        <v></v>
      </c>
    </row>
    <row r="130" spans="1:7" x14ac:dyDescent="0.25">
      <c r="A130" s="1">
        <v>128</v>
      </c>
      <c r="B130" s="17" t="s">
        <v>138</v>
      </c>
      <c r="C130" s="17" t="str">
        <f>LEFT(B130,3)&amp;LEFT(B130,3)&amp;LEFT(B130,3)&amp;MID(B130,4,3)&amp;MID(B130,4,3)&amp;MID(B130,4,2)&amp;RIGHT(B130,3)&amp;RIGHT(B130,3)&amp;RIGHT(B130,3)&amp;RIGHT(B130,3)&amp;" 00 00 00 00 00 00"</f>
        <v>:10:10:100800800849E49E49E49E 00 00 00 00 00 00</v>
      </c>
      <c r="D130" s="1">
        <f>A130-128</f>
        <v>0</v>
      </c>
      <c r="E130" t="str">
        <f>DEC2BIN(D130,6)</f>
        <v>000000</v>
      </c>
      <c r="G130" t="s">
        <v>13</v>
      </c>
    </row>
    <row r="131" spans="1:7" x14ac:dyDescent="0.25">
      <c r="A131" s="1">
        <v>129</v>
      </c>
      <c r="B131" s="17" t="s">
        <v>139</v>
      </c>
      <c r="C131" s="17" t="str">
        <f t="shared" ref="C131:C193" si="19">LEFT(B131,3)&amp;LEFT(B131,3)&amp;LEFT(B131,3)&amp;MID(B131,4,3)&amp;MID(B131,4,3)&amp;MID(B131,4,2)&amp;RIGHT(B131,3)&amp;RIGHT(B131,3)&amp;RIGHT(B131,3)&amp;RIGHT(B131,3)&amp;" 00 00 00 00 00 00"</f>
        <v>:10:10:1008108108260260260260 00 00 00 00 00 00</v>
      </c>
      <c r="D131" s="1">
        <f t="shared" ref="D131:D193" si="20">A131-128</f>
        <v>1</v>
      </c>
      <c r="E131" t="str">
        <f t="shared" ref="E131:E193" si="21">DEC2BIN(D131,6)</f>
        <v>000001</v>
      </c>
    </row>
    <row r="132" spans="1:7" x14ac:dyDescent="0.25">
      <c r="A132" s="1">
        <v>130</v>
      </c>
      <c r="B132" s="17" t="s">
        <v>140</v>
      </c>
      <c r="C132" s="17" t="str">
        <f t="shared" si="19"/>
        <v>:10:10:10082082083AC3AC3AC3AC 00 00 00 00 00 00</v>
      </c>
      <c r="D132" s="1">
        <f t="shared" si="20"/>
        <v>2</v>
      </c>
      <c r="E132" t="str">
        <f t="shared" si="21"/>
        <v>000010</v>
      </c>
      <c r="G132" t="s">
        <v>268</v>
      </c>
    </row>
    <row r="133" spans="1:7" x14ac:dyDescent="0.25">
      <c r="A133" s="1">
        <v>131</v>
      </c>
      <c r="B133" s="17" t="s">
        <v>141</v>
      </c>
      <c r="C133" s="17" t="str">
        <f t="shared" si="19"/>
        <v>:10:10:10083083080BF0BF0BF0BF 00 00 00 00 00 00</v>
      </c>
      <c r="D133" s="1">
        <f t="shared" si="20"/>
        <v>3</v>
      </c>
      <c r="E133" t="str">
        <f t="shared" si="21"/>
        <v>000011</v>
      </c>
    </row>
    <row r="134" spans="1:7" x14ac:dyDescent="0.25">
      <c r="A134" s="1">
        <v>132</v>
      </c>
      <c r="B134" s="17" t="s">
        <v>142</v>
      </c>
      <c r="C134" s="17" t="str">
        <f t="shared" si="19"/>
        <v>:10:10:100840840873B73B73B73B 00 00 00 00 00 00</v>
      </c>
      <c r="D134" s="1">
        <f t="shared" si="20"/>
        <v>4</v>
      </c>
      <c r="E134" t="str">
        <f t="shared" si="21"/>
        <v>000100</v>
      </c>
    </row>
    <row r="135" spans="1:7" x14ac:dyDescent="0.25">
      <c r="A135" s="1">
        <v>133</v>
      </c>
      <c r="B135" s="17" t="s">
        <v>143</v>
      </c>
      <c r="C135" s="17" t="str">
        <f t="shared" si="19"/>
        <v>:10:10:10085085082D02D02D02D0 00 00 00 00 00 00</v>
      </c>
      <c r="D135" s="1">
        <f t="shared" si="20"/>
        <v>5</v>
      </c>
      <c r="E135" t="str">
        <f t="shared" si="21"/>
        <v>000101</v>
      </c>
    </row>
    <row r="136" spans="1:7" x14ac:dyDescent="0.25">
      <c r="A136" s="1">
        <v>134</v>
      </c>
      <c r="B136" s="17" t="s">
        <v>144</v>
      </c>
      <c r="C136" s="17" t="str">
        <f t="shared" si="19"/>
        <v>:10:10:100860860812E12E12E12E 00 00 00 00 00 00</v>
      </c>
      <c r="D136" s="1">
        <f t="shared" si="20"/>
        <v>6</v>
      </c>
      <c r="E136" t="str">
        <f t="shared" si="21"/>
        <v>000110</v>
      </c>
    </row>
    <row r="137" spans="1:7" x14ac:dyDescent="0.25">
      <c r="A137" s="1">
        <v>135</v>
      </c>
      <c r="B137" s="17" t="s">
        <v>145</v>
      </c>
      <c r="C137" s="17" t="str">
        <f t="shared" si="19"/>
        <v>:10:10:10087087080DF0DF0DF0DF 00 00 00 00 00 00</v>
      </c>
      <c r="D137" s="1">
        <f t="shared" si="20"/>
        <v>7</v>
      </c>
      <c r="E137" t="str">
        <f t="shared" si="21"/>
        <v>000111</v>
      </c>
    </row>
    <row r="138" spans="1:7" x14ac:dyDescent="0.25">
      <c r="A138" s="1">
        <v>136</v>
      </c>
      <c r="B138" s="17" t="s">
        <v>146</v>
      </c>
      <c r="C138" s="17" t="str">
        <f t="shared" si="19"/>
        <v>:10:10:1008808808837837837837 00 00 00 00 00 00</v>
      </c>
      <c r="D138" s="1">
        <f t="shared" si="20"/>
        <v>8</v>
      </c>
      <c r="E138" t="str">
        <f t="shared" si="21"/>
        <v>001000</v>
      </c>
    </row>
    <row r="139" spans="1:7" x14ac:dyDescent="0.25">
      <c r="A139" s="1">
        <v>137</v>
      </c>
      <c r="B139" s="17" t="s">
        <v>147</v>
      </c>
      <c r="C139" s="17" t="str">
        <f t="shared" si="19"/>
        <v>:10:10:10089089089F69F69F69F6 00 00 00 00 00 00</v>
      </c>
      <c r="D139" s="1">
        <f t="shared" si="20"/>
        <v>9</v>
      </c>
      <c r="E139" t="str">
        <f t="shared" si="21"/>
        <v>001001</v>
      </c>
    </row>
    <row r="140" spans="1:7" x14ac:dyDescent="0.25">
      <c r="A140" s="1">
        <v>138</v>
      </c>
      <c r="B140" s="17" t="s">
        <v>148</v>
      </c>
      <c r="C140" s="17" t="str">
        <f t="shared" si="19"/>
        <v>:10:10:1008A08A08349349349349 00 00 00 00 00 00</v>
      </c>
      <c r="D140" s="1">
        <f t="shared" si="20"/>
        <v>10</v>
      </c>
      <c r="E140" t="str">
        <f t="shared" si="21"/>
        <v>001010</v>
      </c>
    </row>
    <row r="141" spans="1:7" x14ac:dyDescent="0.25">
      <c r="A141" s="1">
        <v>139</v>
      </c>
      <c r="B141" s="17" t="s">
        <v>149</v>
      </c>
      <c r="C141" s="17" t="str">
        <f t="shared" si="19"/>
        <v>:10:10:1008B08B083F93F93F93F9 00 00 00 00 00 00</v>
      </c>
      <c r="D141" s="1">
        <f t="shared" si="20"/>
        <v>11</v>
      </c>
      <c r="E141" t="str">
        <f t="shared" si="21"/>
        <v>001011</v>
      </c>
    </row>
    <row r="142" spans="1:7" x14ac:dyDescent="0.25">
      <c r="A142" s="1">
        <v>140</v>
      </c>
      <c r="B142" s="17" t="s">
        <v>150</v>
      </c>
      <c r="C142" s="17" t="str">
        <f t="shared" si="19"/>
        <v>:10:10:1008C08C0802F02F02F02F 00 00 00 00 00 00</v>
      </c>
      <c r="D142" s="1">
        <f t="shared" si="20"/>
        <v>12</v>
      </c>
      <c r="E142" t="str">
        <f t="shared" si="21"/>
        <v>001100</v>
      </c>
    </row>
    <row r="143" spans="1:7" x14ac:dyDescent="0.25">
      <c r="A143" s="1">
        <v>141</v>
      </c>
      <c r="B143" s="17" t="s">
        <v>151</v>
      </c>
      <c r="C143" s="17" t="str">
        <f t="shared" si="19"/>
        <v>:10:10:1008D08D086B96B96B96B9 00 00 00 00 00 00</v>
      </c>
      <c r="D143" s="1">
        <f t="shared" si="20"/>
        <v>13</v>
      </c>
      <c r="E143" t="str">
        <f t="shared" si="21"/>
        <v>001101</v>
      </c>
    </row>
    <row r="144" spans="1:7" x14ac:dyDescent="0.25">
      <c r="A144" s="1">
        <v>142</v>
      </c>
      <c r="B144" s="17" t="s">
        <v>152</v>
      </c>
      <c r="C144" s="17" t="str">
        <f t="shared" si="19"/>
        <v>:10:10:1008E08E08408408408408 00 00 00 00 00 00</v>
      </c>
      <c r="D144" s="1">
        <f t="shared" si="20"/>
        <v>14</v>
      </c>
      <c r="E144" t="str">
        <f t="shared" si="21"/>
        <v>001110</v>
      </c>
    </row>
    <row r="145" spans="1:10" x14ac:dyDescent="0.25">
      <c r="A145" s="1">
        <v>143</v>
      </c>
      <c r="B145" s="17" t="s">
        <v>153</v>
      </c>
      <c r="C145" s="17" t="str">
        <f t="shared" si="19"/>
        <v>:10:10:1008F08F080FC0FC0FC0FC 00 00 00 00 00 00</v>
      </c>
      <c r="D145" s="1">
        <f t="shared" si="20"/>
        <v>15</v>
      </c>
      <c r="E145" t="str">
        <f t="shared" si="21"/>
        <v>001111</v>
      </c>
    </row>
    <row r="146" spans="1:10" x14ac:dyDescent="0.25">
      <c r="A146" s="1">
        <v>144</v>
      </c>
      <c r="B146" s="17" t="s">
        <v>154</v>
      </c>
      <c r="C146" s="17" t="str">
        <f t="shared" si="19"/>
        <v>:10:10:100900900936E36E36E36E 00 00 00 00 00 00</v>
      </c>
      <c r="D146" s="1">
        <f t="shared" si="20"/>
        <v>16</v>
      </c>
      <c r="E146" t="str">
        <f t="shared" si="21"/>
        <v>010000</v>
      </c>
    </row>
    <row r="147" spans="1:10" x14ac:dyDescent="0.25">
      <c r="A147" s="1">
        <v>145</v>
      </c>
      <c r="B147" s="17" t="s">
        <v>155</v>
      </c>
      <c r="C147" s="17" t="str">
        <f t="shared" si="19"/>
        <v>:10:10:1009109109809809809809 00 00 00 00 00 00</v>
      </c>
      <c r="D147" s="1">
        <f t="shared" si="20"/>
        <v>17</v>
      </c>
      <c r="E147" t="str">
        <f t="shared" si="21"/>
        <v>010001</v>
      </c>
    </row>
    <row r="148" spans="1:10" x14ac:dyDescent="0.25">
      <c r="A148" s="1">
        <v>146</v>
      </c>
      <c r="B148" s="17" t="s">
        <v>156</v>
      </c>
      <c r="C148" s="17" t="str">
        <f t="shared" si="19"/>
        <v>:10:10:100920920915D15D15D15D 00 00 00 00 00 00</v>
      </c>
      <c r="D148" s="1">
        <f t="shared" si="20"/>
        <v>18</v>
      </c>
      <c r="E148" t="str">
        <f t="shared" si="21"/>
        <v>010010</v>
      </c>
    </row>
    <row r="149" spans="1:10" x14ac:dyDescent="0.25">
      <c r="A149" s="1">
        <v>147</v>
      </c>
      <c r="B149" s="17" t="s">
        <v>157</v>
      </c>
      <c r="C149" s="17" t="str">
        <f t="shared" si="19"/>
        <v>:10:10:100930930920C20C20C20C 00 00 00 00 00 00</v>
      </c>
      <c r="D149" s="1">
        <f t="shared" si="20"/>
        <v>19</v>
      </c>
      <c r="E149" t="str">
        <f t="shared" si="21"/>
        <v>010011</v>
      </c>
    </row>
    <row r="150" spans="1:10" x14ac:dyDescent="0.25">
      <c r="A150" s="1">
        <v>148</v>
      </c>
      <c r="B150" s="17" t="s">
        <v>158</v>
      </c>
      <c r="C150" s="17" t="str">
        <f t="shared" si="19"/>
        <v>:10:10:10094094091E01E01E01E0 00 00 00 00 00 00</v>
      </c>
      <c r="D150" s="1">
        <f t="shared" si="20"/>
        <v>20</v>
      </c>
      <c r="E150" t="str">
        <f t="shared" si="21"/>
        <v>010100</v>
      </c>
    </row>
    <row r="151" spans="1:10" x14ac:dyDescent="0.25">
      <c r="A151" s="1">
        <v>149</v>
      </c>
      <c r="B151" s="17" t="s">
        <v>159</v>
      </c>
      <c r="C151" s="17" t="str">
        <f t="shared" si="19"/>
        <v>:10:10:100950950939E39E39E39E 00 00 00 00 00 00</v>
      </c>
      <c r="D151" s="1">
        <f t="shared" si="20"/>
        <v>21</v>
      </c>
      <c r="E151" t="str">
        <f t="shared" si="21"/>
        <v>010101</v>
      </c>
    </row>
    <row r="152" spans="1:10" x14ac:dyDescent="0.25">
      <c r="A152" s="1">
        <v>150</v>
      </c>
      <c r="B152" s="17" t="s">
        <v>160</v>
      </c>
      <c r="C152" s="17" t="str">
        <f t="shared" si="19"/>
        <v>:10:10:10096096094DA4DA4DA4DA 00 00 00 00 00 00</v>
      </c>
      <c r="D152" s="1">
        <f t="shared" si="20"/>
        <v>22</v>
      </c>
      <c r="E152" t="str">
        <f t="shared" si="21"/>
        <v>010110</v>
      </c>
    </row>
    <row r="153" spans="1:10" x14ac:dyDescent="0.25">
      <c r="A153" s="1">
        <v>151</v>
      </c>
      <c r="B153" s="17" t="s">
        <v>161</v>
      </c>
      <c r="C153" s="17" t="str">
        <f t="shared" si="19"/>
        <v>:10:10:10097097095A95A95A95A9 00 00 00 00 00 00</v>
      </c>
      <c r="D153" s="1">
        <f t="shared" si="20"/>
        <v>23</v>
      </c>
      <c r="E153" t="str">
        <f t="shared" si="21"/>
        <v>010111</v>
      </c>
      <c r="I153" s="2">
        <v>1</v>
      </c>
      <c r="J153" s="2">
        <v>0</v>
      </c>
    </row>
    <row r="154" spans="1:10" x14ac:dyDescent="0.25">
      <c r="A154" s="1">
        <v>152</v>
      </c>
      <c r="B154" s="17" t="s">
        <v>162</v>
      </c>
      <c r="C154" s="17" t="str">
        <f t="shared" si="19"/>
        <v>:10:10:10098098092EC2EC2EC2EC 00 00 00 00 00 00</v>
      </c>
      <c r="D154" s="1">
        <f t="shared" si="20"/>
        <v>24</v>
      </c>
      <c r="E154" t="str">
        <f t="shared" si="21"/>
        <v>011000</v>
      </c>
      <c r="I154" s="2">
        <v>0</v>
      </c>
      <c r="J154" s="2">
        <v>1</v>
      </c>
    </row>
    <row r="155" spans="1:10" x14ac:dyDescent="0.25">
      <c r="A155" s="1">
        <v>153</v>
      </c>
      <c r="B155" s="17" t="s">
        <v>163</v>
      </c>
      <c r="C155" s="17" t="str">
        <f t="shared" si="19"/>
        <v>:10:10:10099099093AB3AB3AB3AB 00 00 00 00 00 00</v>
      </c>
      <c r="D155" s="1">
        <f t="shared" si="20"/>
        <v>25</v>
      </c>
      <c r="E155" t="str">
        <f t="shared" si="21"/>
        <v>011001</v>
      </c>
      <c r="I155" s="2">
        <v>1</v>
      </c>
      <c r="J155" s="2">
        <v>0</v>
      </c>
    </row>
    <row r="156" spans="1:10" x14ac:dyDescent="0.25">
      <c r="A156" s="1">
        <v>154</v>
      </c>
      <c r="B156" s="17" t="s">
        <v>164</v>
      </c>
      <c r="C156" s="17" t="str">
        <f t="shared" si="19"/>
        <v>:10:10:1009A09A0906B06B06B06B 00 00 00 00 00 00</v>
      </c>
      <c r="D156" s="1">
        <f t="shared" si="20"/>
        <v>26</v>
      </c>
      <c r="E156" t="str">
        <f t="shared" si="21"/>
        <v>011010</v>
      </c>
    </row>
    <row r="157" spans="1:10" x14ac:dyDescent="0.25">
      <c r="A157" s="1">
        <v>155</v>
      </c>
      <c r="B157" s="17" t="s">
        <v>165</v>
      </c>
      <c r="C157" s="17" t="str">
        <f t="shared" si="19"/>
        <v>:10:10:1009B09B092F92F92F92F9 00 00 00 00 00 00</v>
      </c>
      <c r="D157" s="1">
        <f t="shared" si="20"/>
        <v>27</v>
      </c>
      <c r="E157" t="str">
        <f t="shared" si="21"/>
        <v>011011</v>
      </c>
    </row>
    <row r="158" spans="1:10" x14ac:dyDescent="0.25">
      <c r="A158" s="1">
        <v>156</v>
      </c>
      <c r="B158" s="17" t="s">
        <v>166</v>
      </c>
      <c r="C158" s="17" t="str">
        <f t="shared" si="19"/>
        <v>:10:10:1009C09C09876876876876 00 00 00 00 00 00</v>
      </c>
      <c r="D158" s="1">
        <f t="shared" si="20"/>
        <v>28</v>
      </c>
      <c r="E158" t="str">
        <f t="shared" si="21"/>
        <v>011100</v>
      </c>
    </row>
    <row r="159" spans="1:10" x14ac:dyDescent="0.25">
      <c r="A159" s="1">
        <v>157</v>
      </c>
      <c r="B159" s="17" t="s">
        <v>167</v>
      </c>
      <c r="C159" s="17" t="str">
        <f t="shared" si="19"/>
        <v>:10:10:1009D09D0937B37B37B37B 00 00 00 00 00 00</v>
      </c>
      <c r="D159" s="1">
        <f t="shared" si="20"/>
        <v>29</v>
      </c>
      <c r="E159" t="str">
        <f t="shared" si="21"/>
        <v>011101</v>
      </c>
    </row>
    <row r="160" spans="1:10" x14ac:dyDescent="0.25">
      <c r="A160" s="1">
        <v>158</v>
      </c>
      <c r="B160" s="17" t="s">
        <v>168</v>
      </c>
      <c r="C160" s="17" t="str">
        <f t="shared" si="19"/>
        <v>:10:10:1009E09E090FB0FB0FB0FB 00 00 00 00 00 00</v>
      </c>
      <c r="D160" s="1">
        <f t="shared" si="20"/>
        <v>30</v>
      </c>
      <c r="E160" t="str">
        <f t="shared" si="21"/>
        <v>011110</v>
      </c>
    </row>
    <row r="161" spans="1:5" x14ac:dyDescent="0.25">
      <c r="A161" s="1">
        <v>159</v>
      </c>
      <c r="B161" s="17" t="s">
        <v>169</v>
      </c>
      <c r="C161" s="17" t="str">
        <f t="shared" si="19"/>
        <v>:10:10:1009F09F09D6ED6ED6ED6E 00 00 00 00 00 00</v>
      </c>
      <c r="D161" s="1">
        <f t="shared" si="20"/>
        <v>31</v>
      </c>
      <c r="E161" t="str">
        <f t="shared" si="21"/>
        <v>011111</v>
      </c>
    </row>
    <row r="162" spans="1:5" x14ac:dyDescent="0.25">
      <c r="A162" s="1">
        <v>160</v>
      </c>
      <c r="B162" s="17" t="s">
        <v>170</v>
      </c>
      <c r="C162" s="17" t="str">
        <f t="shared" si="19"/>
        <v>:10:10:100A00A00A1CB1CB1CB1CB 00 00 00 00 00 00</v>
      </c>
      <c r="D162" s="1">
        <f t="shared" si="20"/>
        <v>32</v>
      </c>
      <c r="E162" t="str">
        <f t="shared" si="21"/>
        <v>100000</v>
      </c>
    </row>
    <row r="163" spans="1:5" x14ac:dyDescent="0.25">
      <c r="A163" s="1">
        <v>161</v>
      </c>
      <c r="B163" s="17" t="s">
        <v>171</v>
      </c>
      <c r="C163" s="17" t="str">
        <f t="shared" si="19"/>
        <v>:10:10:100A10A10A478478478478 00 00 00 00 00 00</v>
      </c>
      <c r="D163" s="1">
        <f t="shared" si="20"/>
        <v>33</v>
      </c>
      <c r="E163" t="str">
        <f t="shared" si="21"/>
        <v>100001</v>
      </c>
    </row>
    <row r="164" spans="1:5" x14ac:dyDescent="0.25">
      <c r="A164" s="1">
        <v>162</v>
      </c>
      <c r="B164" s="17" t="s">
        <v>172</v>
      </c>
      <c r="C164" s="17" t="str">
        <f t="shared" si="19"/>
        <v>:10:10:100A20A20A2C72C72C72C7 00 00 00 00 00 00</v>
      </c>
      <c r="D164" s="1">
        <f t="shared" si="20"/>
        <v>34</v>
      </c>
      <c r="E164" t="str">
        <f t="shared" si="21"/>
        <v>100010</v>
      </c>
    </row>
    <row r="165" spans="1:5" x14ac:dyDescent="0.25">
      <c r="A165" s="1">
        <v>163</v>
      </c>
      <c r="B165" s="17" t="s">
        <v>173</v>
      </c>
      <c r="C165" s="17" t="str">
        <f t="shared" si="19"/>
        <v>:10:10:100A30A30A990990990990 00 00 00 00 00 00</v>
      </c>
      <c r="D165" s="1">
        <f t="shared" si="20"/>
        <v>35</v>
      </c>
      <c r="E165" t="str">
        <f t="shared" si="21"/>
        <v>100011</v>
      </c>
    </row>
    <row r="166" spans="1:5" x14ac:dyDescent="0.25">
      <c r="A166" s="1">
        <v>164</v>
      </c>
      <c r="B166" s="17" t="s">
        <v>174</v>
      </c>
      <c r="C166" s="17" t="str">
        <f t="shared" si="19"/>
        <v>:10:10:100A40A40A844844844844 00 00 00 00 00 00</v>
      </c>
      <c r="D166" s="1">
        <f t="shared" si="20"/>
        <v>36</v>
      </c>
      <c r="E166" t="str">
        <f t="shared" si="21"/>
        <v>100100</v>
      </c>
    </row>
    <row r="167" spans="1:5" x14ac:dyDescent="0.25">
      <c r="A167" s="1">
        <v>165</v>
      </c>
      <c r="B167" s="17" t="s">
        <v>175</v>
      </c>
      <c r="C167" s="17" t="str">
        <f t="shared" si="19"/>
        <v>:10:10:100A50A50A07C07C07C07C 00 00 00 00 00 00</v>
      </c>
      <c r="D167" s="1">
        <f t="shared" si="20"/>
        <v>37</v>
      </c>
      <c r="E167" t="str">
        <f t="shared" si="21"/>
        <v>100101</v>
      </c>
    </row>
    <row r="168" spans="1:5" x14ac:dyDescent="0.25">
      <c r="A168" s="1">
        <v>166</v>
      </c>
      <c r="B168" s="17" t="s">
        <v>176</v>
      </c>
      <c r="C168" s="17" t="str">
        <f t="shared" si="19"/>
        <v>:10:10:100A60A60A0C90C90C90C9 00 00 00 00 00 00</v>
      </c>
      <c r="D168" s="1">
        <f t="shared" si="20"/>
        <v>38</v>
      </c>
      <c r="E168" t="str">
        <f t="shared" si="21"/>
        <v>100110</v>
      </c>
    </row>
    <row r="169" spans="1:5" x14ac:dyDescent="0.25">
      <c r="A169" s="1">
        <v>167</v>
      </c>
      <c r="B169" s="17" t="s">
        <v>177</v>
      </c>
      <c r="C169" s="17" t="str">
        <f t="shared" si="19"/>
        <v>:10:10:100A70A70A089089089089 00 00 00 00 00 00</v>
      </c>
      <c r="D169" s="1">
        <f t="shared" si="20"/>
        <v>39</v>
      </c>
      <c r="E169" t="str">
        <f t="shared" si="21"/>
        <v>100111</v>
      </c>
    </row>
    <row r="170" spans="1:5" x14ac:dyDescent="0.25">
      <c r="A170" s="1">
        <v>168</v>
      </c>
      <c r="B170" s="17" t="s">
        <v>178</v>
      </c>
      <c r="C170" s="17" t="str">
        <f t="shared" si="19"/>
        <v>:10:10:100A80A80A8B18B18B18B1 00 00 00 00 00 00</v>
      </c>
      <c r="D170" s="1">
        <f t="shared" si="20"/>
        <v>40</v>
      </c>
      <c r="E170" t="str">
        <f t="shared" si="21"/>
        <v>101000</v>
      </c>
    </row>
    <row r="171" spans="1:5" x14ac:dyDescent="0.25">
      <c r="A171" s="1">
        <v>169</v>
      </c>
      <c r="B171" s="17" t="s">
        <v>179</v>
      </c>
      <c r="C171" s="17" t="str">
        <f t="shared" si="19"/>
        <v>:10:10:100A90A90A356356356356 00 00 00 00 00 00</v>
      </c>
      <c r="D171" s="1">
        <f t="shared" si="20"/>
        <v>41</v>
      </c>
      <c r="E171" t="str">
        <f t="shared" si="21"/>
        <v>101001</v>
      </c>
    </row>
    <row r="172" spans="1:5" x14ac:dyDescent="0.25">
      <c r="A172" s="1">
        <v>170</v>
      </c>
      <c r="B172" s="17" t="s">
        <v>180</v>
      </c>
      <c r="C172" s="17" t="str">
        <f t="shared" si="19"/>
        <v>:10:10:100AA0AA0A9BD9BD9BD9BD 00 00 00 00 00 00</v>
      </c>
      <c r="D172" s="1">
        <f t="shared" si="20"/>
        <v>42</v>
      </c>
      <c r="E172" t="str">
        <f t="shared" si="21"/>
        <v>101010</v>
      </c>
    </row>
    <row r="173" spans="1:5" x14ac:dyDescent="0.25">
      <c r="A173" s="1">
        <v>171</v>
      </c>
      <c r="B173" s="17" t="s">
        <v>181</v>
      </c>
      <c r="C173" s="17" t="str">
        <f t="shared" si="19"/>
        <v>:10:10:100AB0AB0A0A60A60A60A6 00 00 00 00 00 00</v>
      </c>
      <c r="D173" s="1">
        <f t="shared" si="20"/>
        <v>43</v>
      </c>
      <c r="E173" t="str">
        <f t="shared" si="21"/>
        <v>101011</v>
      </c>
    </row>
    <row r="174" spans="1:5" x14ac:dyDescent="0.25">
      <c r="A174" s="1">
        <v>172</v>
      </c>
      <c r="B174" s="17" t="s">
        <v>182</v>
      </c>
      <c r="C174" s="17" t="str">
        <f t="shared" si="19"/>
        <v>:10:10:100AC0AC0A237237237237 00 00 00 00 00 00</v>
      </c>
      <c r="D174" s="1">
        <f t="shared" si="20"/>
        <v>44</v>
      </c>
      <c r="E174" t="str">
        <f t="shared" si="21"/>
        <v>101100</v>
      </c>
    </row>
    <row r="175" spans="1:5" x14ac:dyDescent="0.25">
      <c r="A175" s="1">
        <v>173</v>
      </c>
      <c r="B175" s="17" t="s">
        <v>183</v>
      </c>
      <c r="C175" s="17" t="str">
        <f t="shared" si="19"/>
        <v>:10:10:100AD0AD0A0F90F90F90F9 00 00 00 00 00 00</v>
      </c>
      <c r="D175" s="1">
        <f t="shared" si="20"/>
        <v>45</v>
      </c>
      <c r="E175" t="str">
        <f t="shared" si="21"/>
        <v>101101</v>
      </c>
    </row>
    <row r="176" spans="1:5" x14ac:dyDescent="0.25">
      <c r="A176" s="1">
        <v>174</v>
      </c>
      <c r="B176" s="17" t="s">
        <v>184</v>
      </c>
      <c r="C176" s="17" t="str">
        <f t="shared" si="19"/>
        <v>:10:10:100AE0AE0A145145145145 00 00 00 00 00 00</v>
      </c>
      <c r="D176" s="1">
        <f t="shared" si="20"/>
        <v>46</v>
      </c>
      <c r="E176" t="str">
        <f t="shared" si="21"/>
        <v>101110</v>
      </c>
    </row>
    <row r="177" spans="1:5" x14ac:dyDescent="0.25">
      <c r="A177" s="1">
        <v>175</v>
      </c>
      <c r="B177" s="17" t="s">
        <v>185</v>
      </c>
      <c r="C177" s="17" t="str">
        <f t="shared" si="19"/>
        <v>:10:10:100AF0AF0A9FD9FD9FD9FD 00 00 00 00 00 00</v>
      </c>
      <c r="D177" s="1">
        <f t="shared" si="20"/>
        <v>47</v>
      </c>
      <c r="E177" t="str">
        <f t="shared" si="21"/>
        <v>101111</v>
      </c>
    </row>
    <row r="178" spans="1:5" x14ac:dyDescent="0.25">
      <c r="A178" s="1">
        <v>176</v>
      </c>
      <c r="B178" s="17" t="s">
        <v>186</v>
      </c>
      <c r="C178" s="17" t="str">
        <f t="shared" si="19"/>
        <v>:10:10:100B00B00B0EB0EB0EB0EB 00 00 00 00 00 00</v>
      </c>
      <c r="D178" s="1">
        <f t="shared" si="20"/>
        <v>48</v>
      </c>
      <c r="E178" t="str">
        <f t="shared" si="21"/>
        <v>110000</v>
      </c>
    </row>
    <row r="179" spans="1:5" x14ac:dyDescent="0.25">
      <c r="A179" s="1">
        <v>177</v>
      </c>
      <c r="B179" s="17" t="s">
        <v>187</v>
      </c>
      <c r="C179" s="17" t="str">
        <f t="shared" si="19"/>
        <v>:10:10:100B10B10BC5FC5FC5FC5F 00 00 00 00 00 00</v>
      </c>
      <c r="D179" s="1">
        <f t="shared" si="20"/>
        <v>49</v>
      </c>
      <c r="E179" t="str">
        <f t="shared" si="21"/>
        <v>110001</v>
      </c>
    </row>
    <row r="180" spans="1:5" x14ac:dyDescent="0.25">
      <c r="A180" s="1">
        <v>178</v>
      </c>
      <c r="B180" s="17" t="s">
        <v>188</v>
      </c>
      <c r="C180" s="17" t="str">
        <f t="shared" si="19"/>
        <v>:10:10:100B20B20B197197197197 00 00 00 00 00 00</v>
      </c>
      <c r="D180" s="1">
        <f t="shared" si="20"/>
        <v>50</v>
      </c>
      <c r="E180" t="str">
        <f t="shared" si="21"/>
        <v>110010</v>
      </c>
    </row>
    <row r="181" spans="1:5" x14ac:dyDescent="0.25">
      <c r="A181" s="1">
        <v>179</v>
      </c>
      <c r="B181" s="17" t="s">
        <v>189</v>
      </c>
      <c r="C181" s="17" t="str">
        <f t="shared" si="19"/>
        <v>:10:10:100B30B30B345345345345 00 00 00 00 00 00</v>
      </c>
      <c r="D181" s="1">
        <f t="shared" si="20"/>
        <v>51</v>
      </c>
      <c r="E181" t="str">
        <f t="shared" si="21"/>
        <v>110011</v>
      </c>
    </row>
    <row r="182" spans="1:5" x14ac:dyDescent="0.25">
      <c r="A182" s="1">
        <v>180</v>
      </c>
      <c r="B182" s="17" t="s">
        <v>190</v>
      </c>
      <c r="C182" s="17" t="str">
        <f t="shared" si="19"/>
        <v>:10:10:100B40B40B573573573573 00 00 00 00 00 00</v>
      </c>
      <c r="D182" s="1">
        <f t="shared" si="20"/>
        <v>52</v>
      </c>
      <c r="E182" t="str">
        <f t="shared" si="21"/>
        <v>110100</v>
      </c>
    </row>
    <row r="183" spans="1:5" x14ac:dyDescent="0.25">
      <c r="A183" s="1">
        <v>181</v>
      </c>
      <c r="B183" s="17" t="s">
        <v>191</v>
      </c>
      <c r="C183" s="17" t="str">
        <f t="shared" si="19"/>
        <v>:10:10:100B50B50B226226226226 00 00 00 00 00 00</v>
      </c>
      <c r="D183" s="1">
        <f t="shared" si="20"/>
        <v>53</v>
      </c>
      <c r="E183" t="str">
        <f t="shared" si="21"/>
        <v>110101</v>
      </c>
    </row>
    <row r="184" spans="1:5" x14ac:dyDescent="0.25">
      <c r="A184" s="1">
        <v>182</v>
      </c>
      <c r="B184" s="17" t="s">
        <v>192</v>
      </c>
      <c r="C184" s="17" t="str">
        <f t="shared" si="19"/>
        <v>:10:10:100B60B60B68F68F68F68F 00 00 00 00 00 00</v>
      </c>
      <c r="D184" s="1">
        <f t="shared" si="20"/>
        <v>54</v>
      </c>
      <c r="E184" t="str">
        <f t="shared" si="21"/>
        <v>110110</v>
      </c>
    </row>
    <row r="185" spans="1:5" x14ac:dyDescent="0.25">
      <c r="A185" s="1">
        <v>183</v>
      </c>
      <c r="B185" s="17" t="s">
        <v>193</v>
      </c>
      <c r="C185" s="17" t="str">
        <f t="shared" si="19"/>
        <v>:10:10:100B70B70B93C93C93C93C 00 00 00 00 00 00</v>
      </c>
      <c r="D185" s="1">
        <f t="shared" si="20"/>
        <v>55</v>
      </c>
      <c r="E185" t="str">
        <f t="shared" si="21"/>
        <v>110111</v>
      </c>
    </row>
    <row r="186" spans="1:5" x14ac:dyDescent="0.25">
      <c r="A186" s="1">
        <v>184</v>
      </c>
      <c r="B186" s="17" t="s">
        <v>194</v>
      </c>
      <c r="C186" s="17" t="str">
        <f t="shared" si="19"/>
        <v>:10:10:100B80B80B3C83C83C83C8 00 00 00 00 00 00</v>
      </c>
      <c r="D186" s="1">
        <f t="shared" si="20"/>
        <v>56</v>
      </c>
      <c r="E186" t="str">
        <f t="shared" si="21"/>
        <v>111000</v>
      </c>
    </row>
    <row r="187" spans="1:5" x14ac:dyDescent="0.25">
      <c r="A187" s="1">
        <v>185</v>
      </c>
      <c r="B187" s="17" t="s">
        <v>195</v>
      </c>
      <c r="C187" s="17" t="str">
        <f t="shared" si="19"/>
        <v>:10:10:100B90B90B992992992992 00 00 00 00 00 00</v>
      </c>
      <c r="D187" s="1">
        <f t="shared" si="20"/>
        <v>57</v>
      </c>
      <c r="E187" t="str">
        <f t="shared" si="21"/>
        <v>111001</v>
      </c>
    </row>
    <row r="188" spans="1:5" x14ac:dyDescent="0.25">
      <c r="A188" s="1">
        <v>186</v>
      </c>
      <c r="B188" s="17" t="s">
        <v>196</v>
      </c>
      <c r="C188" s="17" t="str">
        <f t="shared" si="19"/>
        <v>:10:10:100BA0BA0BFD9FD9FD9FD9 00 00 00 00 00 00</v>
      </c>
      <c r="D188" s="1">
        <f t="shared" si="20"/>
        <v>58</v>
      </c>
      <c r="E188" t="str">
        <f t="shared" si="21"/>
        <v>111010</v>
      </c>
    </row>
    <row r="189" spans="1:5" x14ac:dyDescent="0.25">
      <c r="A189" s="1">
        <v>187</v>
      </c>
      <c r="B189" s="17" t="s">
        <v>197</v>
      </c>
      <c r="C189" s="17" t="str">
        <f t="shared" si="19"/>
        <v>:10:10:100BB0BB0BE9AE9AE9AE9A 00 00 00 00 00 00</v>
      </c>
      <c r="D189" s="1">
        <f t="shared" si="20"/>
        <v>59</v>
      </c>
      <c r="E189" t="str">
        <f t="shared" si="21"/>
        <v>111011</v>
      </c>
    </row>
    <row r="190" spans="1:5" x14ac:dyDescent="0.25">
      <c r="A190" s="1">
        <v>188</v>
      </c>
      <c r="B190" s="17" t="s">
        <v>198</v>
      </c>
      <c r="C190" s="17" t="str">
        <f t="shared" si="19"/>
        <v>:10:10:100BC0BC0B038038038038 00 00 00 00 00 00</v>
      </c>
      <c r="D190" s="1">
        <f t="shared" si="20"/>
        <v>60</v>
      </c>
      <c r="E190" t="str">
        <f t="shared" si="21"/>
        <v>111100</v>
      </c>
    </row>
    <row r="191" spans="1:5" x14ac:dyDescent="0.25">
      <c r="A191" s="1">
        <v>189</v>
      </c>
      <c r="B191" s="17" t="s">
        <v>199</v>
      </c>
      <c r="C191" s="17" t="str">
        <f t="shared" si="19"/>
        <v>:10:10:100BD0BD0BFD9FD9FD9FD9 00 00 00 00 00 00</v>
      </c>
      <c r="D191" s="1">
        <f t="shared" si="20"/>
        <v>61</v>
      </c>
      <c r="E191" t="str">
        <f t="shared" si="21"/>
        <v>111101</v>
      </c>
    </row>
    <row r="192" spans="1:5" x14ac:dyDescent="0.25">
      <c r="A192" s="1">
        <v>190</v>
      </c>
      <c r="B192" s="17" t="s">
        <v>200</v>
      </c>
      <c r="C192" s="17" t="str">
        <f t="shared" si="19"/>
        <v>:10:10:100BE0BE0BF36F36F36F36 00 00 00 00 00 00</v>
      </c>
      <c r="D192" s="1">
        <f t="shared" si="20"/>
        <v>62</v>
      </c>
      <c r="E192" t="str">
        <f t="shared" si="21"/>
        <v>111110</v>
      </c>
    </row>
    <row r="193" spans="1:5" x14ac:dyDescent="0.25">
      <c r="A193" s="1">
        <v>191</v>
      </c>
      <c r="B193" s="17" t="s">
        <v>201</v>
      </c>
      <c r="C193" s="17" t="str">
        <f t="shared" si="19"/>
        <v>:10:10:100BF0BF0B0F50F50F50F5 00 00 00 00 00 00</v>
      </c>
      <c r="D193" s="1">
        <f t="shared" si="20"/>
        <v>63</v>
      </c>
      <c r="E193" t="str">
        <f t="shared" si="21"/>
        <v>111111</v>
      </c>
    </row>
    <row r="194" spans="1:5" x14ac:dyDescent="0.25">
      <c r="A194" s="1">
        <v>192</v>
      </c>
      <c r="B194" s="17" t="s">
        <v>202</v>
      </c>
    </row>
    <row r="195" spans="1:5" x14ac:dyDescent="0.25">
      <c r="A195" s="1">
        <v>193</v>
      </c>
      <c r="B195" s="17" t="s">
        <v>203</v>
      </c>
    </row>
    <row r="196" spans="1:5" x14ac:dyDescent="0.25">
      <c r="A196" s="1">
        <v>194</v>
      </c>
      <c r="B196" s="17" t="s">
        <v>204</v>
      </c>
    </row>
    <row r="197" spans="1:5" x14ac:dyDescent="0.25">
      <c r="A197" s="1">
        <v>195</v>
      </c>
      <c r="B197" s="17" t="s">
        <v>205</v>
      </c>
    </row>
    <row r="198" spans="1:5" x14ac:dyDescent="0.25">
      <c r="A198" s="1">
        <v>196</v>
      </c>
      <c r="B198" s="17" t="s">
        <v>206</v>
      </c>
    </row>
    <row r="199" spans="1:5" x14ac:dyDescent="0.25">
      <c r="A199" s="1">
        <v>197</v>
      </c>
      <c r="B199" s="17" t="s">
        <v>207</v>
      </c>
    </row>
    <row r="200" spans="1:5" x14ac:dyDescent="0.25">
      <c r="A200" s="1">
        <v>198</v>
      </c>
      <c r="B200" s="17" t="s">
        <v>208</v>
      </c>
    </row>
    <row r="201" spans="1:5" x14ac:dyDescent="0.25">
      <c r="A201" s="1">
        <v>199</v>
      </c>
      <c r="B201" s="17" t="s">
        <v>209</v>
      </c>
    </row>
    <row r="202" spans="1:5" x14ac:dyDescent="0.25">
      <c r="A202" s="1">
        <v>200</v>
      </c>
      <c r="B202" s="17" t="s">
        <v>210</v>
      </c>
    </row>
    <row r="203" spans="1:5" x14ac:dyDescent="0.25">
      <c r="A203" s="1">
        <v>201</v>
      </c>
      <c r="B203" s="17" t="s">
        <v>211</v>
      </c>
    </row>
    <row r="204" spans="1:5" x14ac:dyDescent="0.25">
      <c r="A204" s="1">
        <v>202</v>
      </c>
      <c r="B204" s="17" t="s">
        <v>212</v>
      </c>
    </row>
    <row r="205" spans="1:5" x14ac:dyDescent="0.25">
      <c r="A205" s="1">
        <v>203</v>
      </c>
      <c r="B205" s="17" t="s">
        <v>213</v>
      </c>
    </row>
    <row r="206" spans="1:5" x14ac:dyDescent="0.25">
      <c r="A206" s="1">
        <v>204</v>
      </c>
      <c r="B206" s="17" t="s">
        <v>214</v>
      </c>
    </row>
    <row r="207" spans="1:5" x14ac:dyDescent="0.25">
      <c r="A207" s="1">
        <v>205</v>
      </c>
      <c r="B207" s="17" t="s">
        <v>215</v>
      </c>
    </row>
    <row r="208" spans="1:5" x14ac:dyDescent="0.25">
      <c r="A208" s="1">
        <v>206</v>
      </c>
      <c r="B208" s="17" t="s">
        <v>216</v>
      </c>
    </row>
    <row r="209" spans="1:2" x14ac:dyDescent="0.25">
      <c r="A209" s="1">
        <v>207</v>
      </c>
      <c r="B209" s="17" t="s">
        <v>217</v>
      </c>
    </row>
    <row r="210" spans="1:2" x14ac:dyDescent="0.25">
      <c r="A210" s="1">
        <v>208</v>
      </c>
      <c r="B210" s="17" t="s">
        <v>218</v>
      </c>
    </row>
    <row r="211" spans="1:2" x14ac:dyDescent="0.25">
      <c r="A211" s="1">
        <v>209</v>
      </c>
      <c r="B211" s="17" t="s">
        <v>219</v>
      </c>
    </row>
    <row r="212" spans="1:2" x14ac:dyDescent="0.25">
      <c r="A212" s="1">
        <v>210</v>
      </c>
      <c r="B212" s="17" t="s">
        <v>220</v>
      </c>
    </row>
    <row r="213" spans="1:2" x14ac:dyDescent="0.25">
      <c r="A213" s="1">
        <v>211</v>
      </c>
      <c r="B213" s="17" t="s">
        <v>221</v>
      </c>
    </row>
    <row r="214" spans="1:2" x14ac:dyDescent="0.25">
      <c r="A214" s="1">
        <v>212</v>
      </c>
      <c r="B214" s="17" t="s">
        <v>222</v>
      </c>
    </row>
    <row r="215" spans="1:2" x14ac:dyDescent="0.25">
      <c r="A215" s="1">
        <v>213</v>
      </c>
      <c r="B215" s="17" t="s">
        <v>223</v>
      </c>
    </row>
    <row r="216" spans="1:2" x14ac:dyDescent="0.25">
      <c r="A216" s="1">
        <v>214</v>
      </c>
      <c r="B216" s="17" t="s">
        <v>224</v>
      </c>
    </row>
    <row r="217" spans="1:2" x14ac:dyDescent="0.25">
      <c r="A217" s="1">
        <v>215</v>
      </c>
      <c r="B217" s="17" t="s">
        <v>225</v>
      </c>
    </row>
    <row r="218" spans="1:2" x14ac:dyDescent="0.25">
      <c r="A218" s="1">
        <v>216</v>
      </c>
      <c r="B218" s="17" t="s">
        <v>226</v>
      </c>
    </row>
    <row r="219" spans="1:2" x14ac:dyDescent="0.25">
      <c r="A219" s="1">
        <v>217</v>
      </c>
      <c r="B219" s="17" t="s">
        <v>227</v>
      </c>
    </row>
    <row r="220" spans="1:2" x14ac:dyDescent="0.25">
      <c r="A220" s="1">
        <v>218</v>
      </c>
      <c r="B220" s="17" t="s">
        <v>228</v>
      </c>
    </row>
    <row r="221" spans="1:2" x14ac:dyDescent="0.25">
      <c r="A221" s="1">
        <v>219</v>
      </c>
      <c r="B221" s="17" t="s">
        <v>229</v>
      </c>
    </row>
    <row r="222" spans="1:2" x14ac:dyDescent="0.25">
      <c r="A222" s="1">
        <v>220</v>
      </c>
      <c r="B222" s="17" t="s">
        <v>230</v>
      </c>
    </row>
    <row r="223" spans="1:2" x14ac:dyDescent="0.25">
      <c r="A223" s="1">
        <v>221</v>
      </c>
      <c r="B223" s="17" t="s">
        <v>231</v>
      </c>
    </row>
    <row r="224" spans="1:2" x14ac:dyDescent="0.25">
      <c r="A224" s="1">
        <v>222</v>
      </c>
      <c r="B224" s="17" t="s">
        <v>232</v>
      </c>
    </row>
    <row r="225" spans="1:2" x14ac:dyDescent="0.25">
      <c r="A225" s="1">
        <v>223</v>
      </c>
      <c r="B225" s="17" t="s">
        <v>233</v>
      </c>
    </row>
    <row r="226" spans="1:2" x14ac:dyDescent="0.25">
      <c r="A226" s="1">
        <v>224</v>
      </c>
      <c r="B226" s="17" t="s">
        <v>234</v>
      </c>
    </row>
    <row r="227" spans="1:2" x14ac:dyDescent="0.25">
      <c r="A227" s="1">
        <v>225</v>
      </c>
      <c r="B227" s="17" t="s">
        <v>235</v>
      </c>
    </row>
    <row r="228" spans="1:2" x14ac:dyDescent="0.25">
      <c r="A228" s="1">
        <v>226</v>
      </c>
      <c r="B228" s="17" t="s">
        <v>236</v>
      </c>
    </row>
    <row r="229" spans="1:2" x14ac:dyDescent="0.25">
      <c r="A229" s="1">
        <v>227</v>
      </c>
      <c r="B229" s="17" t="s">
        <v>237</v>
      </c>
    </row>
    <row r="230" spans="1:2" x14ac:dyDescent="0.25">
      <c r="A230" s="1">
        <v>228</v>
      </c>
      <c r="B230" s="17" t="s">
        <v>238</v>
      </c>
    </row>
    <row r="231" spans="1:2" x14ac:dyDescent="0.25">
      <c r="A231" s="1">
        <v>229</v>
      </c>
      <c r="B231" s="17" t="s">
        <v>239</v>
      </c>
    </row>
    <row r="232" spans="1:2" x14ac:dyDescent="0.25">
      <c r="A232" s="1">
        <v>230</v>
      </c>
      <c r="B232" s="17" t="s">
        <v>240</v>
      </c>
    </row>
    <row r="233" spans="1:2" x14ac:dyDescent="0.25">
      <c r="A233" s="1">
        <v>231</v>
      </c>
      <c r="B233" s="17" t="s">
        <v>241</v>
      </c>
    </row>
    <row r="234" spans="1:2" x14ac:dyDescent="0.25">
      <c r="A234" s="1">
        <v>232</v>
      </c>
      <c r="B234" s="17" t="s">
        <v>242</v>
      </c>
    </row>
    <row r="235" spans="1:2" x14ac:dyDescent="0.25">
      <c r="A235" s="1">
        <v>233</v>
      </c>
      <c r="B235" s="17" t="s">
        <v>243</v>
      </c>
    </row>
    <row r="236" spans="1:2" x14ac:dyDescent="0.25">
      <c r="A236" s="1">
        <v>234</v>
      </c>
      <c r="B236" s="17" t="s">
        <v>244</v>
      </c>
    </row>
    <row r="237" spans="1:2" x14ac:dyDescent="0.25">
      <c r="A237" s="1">
        <v>235</v>
      </c>
      <c r="B237" s="17" t="s">
        <v>245</v>
      </c>
    </row>
    <row r="238" spans="1:2" x14ac:dyDescent="0.25">
      <c r="A238" s="1">
        <v>236</v>
      </c>
      <c r="B238" s="17" t="s">
        <v>246</v>
      </c>
    </row>
    <row r="239" spans="1:2" x14ac:dyDescent="0.25">
      <c r="A239" s="1">
        <v>237</v>
      </c>
      <c r="B239" s="17" t="s">
        <v>247</v>
      </c>
    </row>
    <row r="240" spans="1:2" x14ac:dyDescent="0.25">
      <c r="A240" s="1">
        <v>238</v>
      </c>
      <c r="B240" s="17" t="s">
        <v>248</v>
      </c>
    </row>
    <row r="241" spans="1:2" x14ac:dyDescent="0.25">
      <c r="A241" s="1">
        <v>239</v>
      </c>
      <c r="B241" s="17" t="s">
        <v>249</v>
      </c>
    </row>
    <row r="242" spans="1:2" x14ac:dyDescent="0.25">
      <c r="A242" s="1">
        <v>240</v>
      </c>
      <c r="B242" s="17" t="s">
        <v>250</v>
      </c>
    </row>
    <row r="243" spans="1:2" x14ac:dyDescent="0.25">
      <c r="A243" s="1">
        <v>241</v>
      </c>
      <c r="B243" s="17" t="s">
        <v>251</v>
      </c>
    </row>
    <row r="244" spans="1:2" x14ac:dyDescent="0.25">
      <c r="A244" s="1">
        <v>242</v>
      </c>
      <c r="B244" s="17" t="s">
        <v>252</v>
      </c>
    </row>
    <row r="245" spans="1:2" x14ac:dyDescent="0.25">
      <c r="A245" s="1">
        <v>243</v>
      </c>
      <c r="B245" s="17" t="s">
        <v>253</v>
      </c>
    </row>
    <row r="246" spans="1:2" x14ac:dyDescent="0.25">
      <c r="A246" s="1">
        <v>244</v>
      </c>
      <c r="B246" s="17" t="s">
        <v>254</v>
      </c>
    </row>
    <row r="247" spans="1:2" x14ac:dyDescent="0.25">
      <c r="A247" s="1">
        <v>245</v>
      </c>
      <c r="B247" s="17" t="s">
        <v>255</v>
      </c>
    </row>
    <row r="248" spans="1:2" x14ac:dyDescent="0.25">
      <c r="A248" s="1">
        <v>246</v>
      </c>
      <c r="B248" s="17" t="s">
        <v>256</v>
      </c>
    </row>
    <row r="249" spans="1:2" x14ac:dyDescent="0.25">
      <c r="A249" s="1">
        <v>247</v>
      </c>
      <c r="B249" s="17" t="s">
        <v>257</v>
      </c>
    </row>
    <row r="250" spans="1:2" x14ac:dyDescent="0.25">
      <c r="A250" s="1">
        <v>248</v>
      </c>
      <c r="B250" s="17" t="s">
        <v>258</v>
      </c>
    </row>
    <row r="251" spans="1:2" x14ac:dyDescent="0.25">
      <c r="A251" s="1">
        <v>249</v>
      </c>
      <c r="B251" s="17" t="s">
        <v>259</v>
      </c>
    </row>
    <row r="252" spans="1:2" x14ac:dyDescent="0.25">
      <c r="A252" s="1">
        <v>250</v>
      </c>
      <c r="B252" s="17" t="s">
        <v>260</v>
      </c>
    </row>
    <row r="253" spans="1:2" x14ac:dyDescent="0.25">
      <c r="A253" s="1">
        <v>251</v>
      </c>
      <c r="B253" s="17" t="s">
        <v>261</v>
      </c>
    </row>
    <row r="254" spans="1:2" x14ac:dyDescent="0.25">
      <c r="A254" s="1">
        <v>252</v>
      </c>
      <c r="B254" s="17" t="s">
        <v>262</v>
      </c>
    </row>
    <row r="255" spans="1:2" x14ac:dyDescent="0.25">
      <c r="A255" s="1">
        <v>253</v>
      </c>
      <c r="B255" s="17" t="s">
        <v>263</v>
      </c>
    </row>
    <row r="256" spans="1:2" x14ac:dyDescent="0.25">
      <c r="A256" s="1">
        <v>254</v>
      </c>
      <c r="B256" s="17" t="s">
        <v>264</v>
      </c>
    </row>
    <row r="257" spans="1:2" x14ac:dyDescent="0.25">
      <c r="A257" s="1">
        <v>255</v>
      </c>
      <c r="B257" s="17" t="s">
        <v>265</v>
      </c>
    </row>
  </sheetData>
  <conditionalFormatting sqref="I2:P22 Y7:AA13 T7:W13">
    <cfRule type="cellIs" dxfId="10" priority="12" operator="equal">
      <formula>"1"</formula>
    </cfRule>
  </conditionalFormatting>
  <conditionalFormatting sqref="W18:AA18">
    <cfRule type="cellIs" dxfId="9" priority="9" operator="equal">
      <formula>1</formula>
    </cfRule>
    <cfRule type="cellIs" dxfId="8" priority="10" operator="equal">
      <formula>"1"</formula>
    </cfRule>
  </conditionalFormatting>
  <conditionalFormatting sqref="T27:AA27 T18:V18">
    <cfRule type="cellIs" dxfId="7" priority="7" operator="equal">
      <formula>1</formula>
    </cfRule>
    <cfRule type="cellIs" dxfId="6" priority="8" operator="equal">
      <formula>"1"</formula>
    </cfRule>
  </conditionalFormatting>
  <conditionalFormatting sqref="T33:AA42">
    <cfRule type="cellIs" dxfId="5" priority="5" operator="equal">
      <formula>1</formula>
    </cfRule>
    <cfRule type="cellIs" dxfId="4" priority="6" operator="equal">
      <formula>"1"</formula>
    </cfRule>
  </conditionalFormatting>
  <conditionalFormatting sqref="T6:AA6 T14:AA15">
    <cfRule type="cellIs" dxfId="3" priority="2" operator="equal">
      <formula>"1"</formula>
    </cfRule>
  </conditionalFormatting>
  <conditionalFormatting sqref="T19:AA26">
    <cfRule type="cellIs" dxfId="2" priority="3" operator="equal">
      <formula>1</formula>
    </cfRule>
    <cfRule type="cellIs" dxfId="1" priority="4" operator="equal">
      <formula>"1"</formula>
    </cfRule>
  </conditionalFormatting>
  <conditionalFormatting sqref="X7:X13">
    <cfRule type="cellIs" dxfId="0" priority="1" operator="equal">
      <formula>"1"</formula>
    </cfRule>
  </conditionalFormatting>
  <pageMargins left="0.7" right="0.7" top="0.75" bottom="0.75" header="0.3" footer="0.3"/>
  <pageSetup paperSize="9" orientation="portrait" copies="0" r:id="rId1"/>
  <drawing r:id="rId2"/>
  <legacyDrawing r:id="rId3"/>
  <oleObjects>
    <mc:AlternateContent xmlns:mc="http://schemas.openxmlformats.org/markup-compatibility/2006">
      <mc:Choice Requires="x14">
        <oleObject shapeId="1025">
          <objectPr defaultSize="0" autoPict="0" dde="1">
            <anchor moveWithCells="1">
              <from>
                <xdr:col>3</xdr:col>
                <xdr:colOff>123825</xdr:colOff>
                <xdr:row>26</xdr:row>
                <xdr:rowOff>19050</xdr:rowOff>
              </from>
              <to>
                <xdr:col>18</xdr:col>
                <xdr:colOff>466725</xdr:colOff>
                <xdr:row>26</xdr:row>
                <xdr:rowOff>180975</xdr:rowOff>
              </to>
            </anchor>
          </objectPr>
        </oleObject>
      </mc:Choice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3</xdr:col>
                    <xdr:colOff>123825</xdr:colOff>
                    <xdr:row>26</xdr:row>
                    <xdr:rowOff>19050</xdr:rowOff>
                  </from>
                  <to>
                    <xdr:col>18</xdr:col>
                    <xdr:colOff>466725</xdr:colOff>
                    <xdr:row>26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TRS80_Model_II_CharGenRom_2716_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</dc:creator>
  <cp:lastModifiedBy>Anka</cp:lastModifiedBy>
  <dcterms:created xsi:type="dcterms:W3CDTF">2018-04-07T15:49:05Z</dcterms:created>
  <dcterms:modified xsi:type="dcterms:W3CDTF">2022-08-21T06:58:59Z</dcterms:modified>
</cp:coreProperties>
</file>